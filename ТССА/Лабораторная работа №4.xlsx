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0" documentId="8_{B0BA5DBD-6912-4D1B-9998-251D195C853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J12" i="1"/>
  <c r="I12" i="1"/>
  <c r="I11" i="1"/>
  <c r="I10" i="1"/>
  <c r="K9" i="1"/>
  <c r="K2" i="1"/>
  <c r="J13" i="1"/>
  <c r="K13" i="1"/>
  <c r="L13" i="1"/>
  <c r="I13" i="1"/>
  <c r="J29" i="1"/>
  <c r="L29" i="1"/>
  <c r="J33" i="1"/>
  <c r="L33" i="1"/>
  <c r="I33" i="1"/>
  <c r="L25" i="1"/>
  <c r="J25" i="1"/>
  <c r="K12" i="1"/>
  <c r="L12" i="1"/>
  <c r="J9" i="1"/>
  <c r="I9" i="1"/>
  <c r="B20" i="1"/>
  <c r="C19" i="1"/>
  <c r="B19" i="1"/>
  <c r="C18" i="1"/>
  <c r="B18" i="1"/>
  <c r="C17" i="1"/>
  <c r="B17" i="1"/>
  <c r="I4" i="1"/>
  <c r="J6" i="1"/>
  <c r="K6" i="1"/>
  <c r="L6" i="1"/>
  <c r="I6" i="1"/>
  <c r="J5" i="1"/>
  <c r="K5" i="1"/>
  <c r="L5" i="1"/>
  <c r="I5" i="1"/>
  <c r="J4" i="1"/>
  <c r="K4" i="1"/>
  <c r="L4" i="1"/>
  <c r="J3" i="1"/>
  <c r="K3" i="1"/>
  <c r="L3" i="1"/>
  <c r="I3" i="1"/>
  <c r="J2" i="1"/>
  <c r="L2" i="1"/>
  <c r="I2" i="1"/>
  <c r="K29" i="1" l="1"/>
  <c r="I30" i="1" s="1"/>
  <c r="K33" i="1"/>
  <c r="I34" i="1" s="1"/>
  <c r="K25" i="1"/>
  <c r="B23" i="1"/>
  <c r="B22" i="1"/>
  <c r="J21" i="1" l="1"/>
  <c r="K21" i="1"/>
  <c r="L21" i="1"/>
  <c r="I22" i="1" l="1"/>
  <c r="I26" i="1"/>
</calcChain>
</file>

<file path=xl/sharedStrings.xml><?xml version="1.0" encoding="utf-8"?>
<sst xmlns="http://schemas.openxmlformats.org/spreadsheetml/2006/main" count="43" uniqueCount="36">
  <si>
    <t>Финансовый показатель</t>
  </si>
  <si>
    <t>значение показателя для предприятия, тыс. руб.</t>
  </si>
  <si>
    <t>a1</t>
  </si>
  <si>
    <t>a2</t>
  </si>
  <si>
    <t>a3</t>
  </si>
  <si>
    <t>a4</t>
  </si>
  <si>
    <t>а1</t>
  </si>
  <si>
    <t>а2</t>
  </si>
  <si>
    <t>а3</t>
  </si>
  <si>
    <t>а4</t>
  </si>
  <si>
    <t>F1</t>
  </si>
  <si>
    <t>Денежные средства (ДС)</t>
  </si>
  <si>
    <t>F2</t>
  </si>
  <si>
    <t>Краткосрочные финансовые
вложения (КФВ)</t>
  </si>
  <si>
    <t>F3</t>
  </si>
  <si>
    <t>Дебиторская задолженность (ДЗ)</t>
  </si>
  <si>
    <t>F4</t>
  </si>
  <si>
    <t>Запасы и затраты (ЗЗ)</t>
  </si>
  <si>
    <t>F5</t>
  </si>
  <si>
    <t>Собственный капитал (СК)</t>
  </si>
  <si>
    <t>Краткосрочные обязательства (ОК)</t>
  </si>
  <si>
    <t>Итог баланса (ИБ)</t>
  </si>
  <si>
    <t>F1=</t>
  </si>
  <si>
    <t>Валовая выручка (ВВ)</t>
  </si>
  <si>
    <t>F2=</t>
  </si>
  <si>
    <t>Прибыль (П)</t>
  </si>
  <si>
    <t>F3=</t>
  </si>
  <si>
    <t>F4=</t>
  </si>
  <si>
    <t>F5=</t>
  </si>
  <si>
    <t>maxmin=</t>
  </si>
  <si>
    <t>Max F5</t>
  </si>
  <si>
    <t>Максимальное значение=</t>
  </si>
  <si>
    <t>Min F5</t>
  </si>
  <si>
    <t>add=</t>
  </si>
  <si>
    <t>maxmin V=</t>
  </si>
  <si>
    <t>add V=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</si>
</sst>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3.5"/>
      <color rgb="FF000000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4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6" xfId="0" applyFont="1" applyBorder="1"/>
    <xf numFmtId="0" fontId="1" fillId="0" borderId="7" xfId="0" applyFont="1" applyBorder="1" applyAlignment="1">
      <alignment wrapText="1"/>
    </xf>
    <xf numFmtId="0" fontId="1" fillId="0" borderId="7" xfId="0" applyFont="1" applyBorder="1"/>
    <xf numFmtId="0" fontId="1" fillId="0" borderId="8" xfId="0" applyFont="1" applyBorder="1"/>
    <xf numFmtId="0" fontId="1" fillId="0" borderId="3" xfId="0" applyFont="1" applyBorder="1"/>
    <xf numFmtId="0" fontId="0" fillId="2" borderId="2" xfId="0" applyFill="1" applyBorder="1"/>
    <xf numFmtId="0" fontId="0" fillId="2" borderId="3" xfId="0" applyFill="1" applyBorder="1"/>
    <xf numFmtId="0" fontId="0" fillId="3" borderId="3" xfId="0" applyFill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topLeftCell="A7" workbookViewId="0">
      <selection activeCell="I29" sqref="I29"/>
    </sheetView>
  </sheetViews>
  <sheetFormatPr defaultRowHeight="15"/>
  <cols>
    <col min="1" max="1" width="36.5703125" bestFit="1" customWidth="1"/>
    <col min="2" max="2" width="8.85546875" customWidth="1"/>
    <col min="3" max="5" width="10.140625" bestFit="1" customWidth="1"/>
    <col min="8" max="8" width="24.140625" bestFit="1" customWidth="1"/>
    <col min="9" max="9" width="15.7109375" customWidth="1"/>
    <col min="14" max="14" width="10" customWidth="1"/>
  </cols>
  <sheetData>
    <row r="1" spans="1:14" ht="34.5" customHeight="1">
      <c r="A1" s="28" t="s">
        <v>0</v>
      </c>
      <c r="B1" s="30" t="s">
        <v>1</v>
      </c>
      <c r="C1" s="30"/>
      <c r="D1" s="30"/>
      <c r="E1" s="31"/>
      <c r="H1" s="2"/>
      <c r="I1" s="3" t="s">
        <v>2</v>
      </c>
      <c r="J1" s="3" t="s">
        <v>3</v>
      </c>
      <c r="K1" s="3" t="s">
        <v>4</v>
      </c>
      <c r="L1" s="4" t="s">
        <v>5</v>
      </c>
    </row>
    <row r="2" spans="1:14">
      <c r="A2" s="29"/>
      <c r="B2" s="6" t="s">
        <v>6</v>
      </c>
      <c r="C2" s="6" t="s">
        <v>7</v>
      </c>
      <c r="D2" s="6" t="s">
        <v>8</v>
      </c>
      <c r="E2" s="7" t="s">
        <v>9</v>
      </c>
      <c r="H2" s="5" t="s">
        <v>10</v>
      </c>
      <c r="I2" s="6">
        <f>(B3+B4)/B8</f>
        <v>0.16071560582538627</v>
      </c>
      <c r="J2" s="6">
        <f t="shared" ref="J2:L2" si="0">(C3+C4)/C8</f>
        <v>0.10104156878618567</v>
      </c>
      <c r="K2" s="6">
        <f>(D3+D4)/D8</f>
        <v>8.3995459704880829E-2</v>
      </c>
      <c r="L2" s="7">
        <f t="shared" si="0"/>
        <v>0.14539141691605104</v>
      </c>
    </row>
    <row r="3" spans="1:14" ht="17.25">
      <c r="A3" s="15" t="s">
        <v>11</v>
      </c>
      <c r="B3" s="16">
        <v>248.1</v>
      </c>
      <c r="C3" s="16">
        <v>935.2</v>
      </c>
      <c r="D3" s="16">
        <v>947</v>
      </c>
      <c r="E3" s="17">
        <v>1542.9</v>
      </c>
      <c r="H3" s="5" t="s">
        <v>12</v>
      </c>
      <c r="I3" s="6">
        <f>(B3+B4+B5)/B8</f>
        <v>1.3040585495675316</v>
      </c>
      <c r="J3" s="6">
        <f t="shared" ref="J3:L3" si="1">(C3+C4+C5)/C8</f>
        <v>0.70758010538565508</v>
      </c>
      <c r="K3" s="6">
        <f t="shared" si="1"/>
        <v>0.59593750557137004</v>
      </c>
      <c r="L3" s="7">
        <f t="shared" si="1"/>
        <v>0.54926223514981043</v>
      </c>
    </row>
    <row r="4" spans="1:14" ht="51.75">
      <c r="A4" s="18" t="s">
        <v>13</v>
      </c>
      <c r="B4" s="16">
        <v>404.1</v>
      </c>
      <c r="C4" s="16">
        <v>462.7</v>
      </c>
      <c r="D4" s="16">
        <v>466.4</v>
      </c>
      <c r="E4" s="17">
        <v>2096</v>
      </c>
      <c r="H4" s="5" t="s">
        <v>14</v>
      </c>
      <c r="I4" s="6">
        <f>(B3+B4+B5+B6)/B8</f>
        <v>2.7895074049432003</v>
      </c>
      <c r="J4" s="6">
        <f t="shared" ref="J4:L4" si="2">(C3+C4+C5+C6)/C8</f>
        <v>2.2730124540112322</v>
      </c>
      <c r="K4" s="6">
        <f t="shared" si="2"/>
        <v>1.8659364952962783</v>
      </c>
      <c r="L4" s="7">
        <f t="shared" si="2"/>
        <v>1.2454541459068333</v>
      </c>
    </row>
    <row r="5" spans="1:14" ht="34.5">
      <c r="A5" s="18" t="s">
        <v>15</v>
      </c>
      <c r="B5" s="16">
        <v>4639.8</v>
      </c>
      <c r="C5" s="16">
        <v>8391.4</v>
      </c>
      <c r="D5" s="16">
        <v>8614.5</v>
      </c>
      <c r="E5" s="17">
        <v>10108.200000000001</v>
      </c>
      <c r="H5" s="5" t="s">
        <v>16</v>
      </c>
      <c r="I5" s="6">
        <f>B7/B9</f>
        <v>0.75336546350713196</v>
      </c>
      <c r="J5" s="6">
        <f t="shared" ref="J5:L5" si="3">C7/C9</f>
        <v>0.71813082817367435</v>
      </c>
      <c r="K5" s="6">
        <f t="shared" si="3"/>
        <v>0.71023379879561843</v>
      </c>
      <c r="L5" s="7">
        <f t="shared" si="3"/>
        <v>0.68305649018522763</v>
      </c>
    </row>
    <row r="6" spans="1:14" ht="17.25">
      <c r="A6" s="15" t="s">
        <v>17</v>
      </c>
      <c r="B6" s="16">
        <v>6028.1</v>
      </c>
      <c r="C6" s="16">
        <v>21657.599999999999</v>
      </c>
      <c r="D6" s="16">
        <v>21370.400000000001</v>
      </c>
      <c r="E6" s="17">
        <v>17424.5</v>
      </c>
      <c r="H6" s="8" t="s">
        <v>18</v>
      </c>
      <c r="I6" s="9">
        <f>B11/B10</f>
        <v>0.2800001345919928</v>
      </c>
      <c r="J6" s="9">
        <f t="shared" ref="J6:L6" si="4">C11/C10</f>
        <v>0.11518646335424018</v>
      </c>
      <c r="K6" s="9">
        <f t="shared" si="4"/>
        <v>1.4999988529347663</v>
      </c>
      <c r="L6" s="10">
        <f t="shared" si="4"/>
        <v>0.11999887099733274</v>
      </c>
    </row>
    <row r="7" spans="1:14" ht="17.25">
      <c r="A7" s="15" t="s">
        <v>19</v>
      </c>
      <c r="B7" s="19">
        <v>12395.8</v>
      </c>
      <c r="C7" s="16">
        <v>35247.800000000003</v>
      </c>
      <c r="D7" s="16">
        <v>41244.199999999997</v>
      </c>
      <c r="E7" s="17">
        <v>53939.4</v>
      </c>
    </row>
    <row r="8" spans="1:14" ht="34.5">
      <c r="A8" s="18" t="s">
        <v>20</v>
      </c>
      <c r="B8" s="16">
        <v>4058.1</v>
      </c>
      <c r="C8" s="16">
        <v>13834.9</v>
      </c>
      <c r="D8" s="16">
        <v>16827.099999999999</v>
      </c>
      <c r="E8" s="17">
        <v>25028.3</v>
      </c>
      <c r="N8" s="1"/>
    </row>
    <row r="9" spans="1:14" ht="40.5" customHeight="1">
      <c r="A9" s="15" t="s">
        <v>21</v>
      </c>
      <c r="B9" s="19">
        <v>16453.900000000001</v>
      </c>
      <c r="C9" s="16">
        <v>49082.7</v>
      </c>
      <c r="D9" s="16">
        <v>58071.3</v>
      </c>
      <c r="E9" s="17">
        <v>78967.7</v>
      </c>
      <c r="H9" s="2" t="s">
        <v>22</v>
      </c>
      <c r="I9" s="11">
        <f>1</f>
        <v>1</v>
      </c>
      <c r="J9" s="11">
        <f>1</f>
        <v>1</v>
      </c>
      <c r="K9" s="11">
        <f>1/(1+ABS(K2-1))</f>
        <v>0.52191943127962082</v>
      </c>
      <c r="L9" s="12">
        <v>1</v>
      </c>
    </row>
    <row r="10" spans="1:14" ht="17.25">
      <c r="A10" s="15" t="s">
        <v>23</v>
      </c>
      <c r="B10" s="19">
        <v>59438.9</v>
      </c>
      <c r="C10" s="16">
        <v>38567.9</v>
      </c>
      <c r="D10" s="16">
        <v>43589.5</v>
      </c>
      <c r="E10" s="17">
        <v>28343.599999999999</v>
      </c>
      <c r="H10" s="5" t="s">
        <v>24</v>
      </c>
      <c r="I10" s="13">
        <f>1/(1+ABS(I3-1))</f>
        <v>0.76683673469387748</v>
      </c>
      <c r="J10" s="13">
        <v>1</v>
      </c>
      <c r="K10" s="13">
        <v>1</v>
      </c>
      <c r="L10" s="14">
        <v>1</v>
      </c>
    </row>
    <row r="11" spans="1:14" ht="17.25">
      <c r="A11" s="20" t="s">
        <v>25</v>
      </c>
      <c r="B11" s="21">
        <v>16642.900000000001</v>
      </c>
      <c r="C11" s="22">
        <v>4442.5</v>
      </c>
      <c r="D11" s="22">
        <v>65384.2</v>
      </c>
      <c r="E11" s="23">
        <v>3401.2</v>
      </c>
      <c r="H11" s="5" t="s">
        <v>26</v>
      </c>
      <c r="I11" s="6">
        <f>1/(1+ABS(I4-2.5))</f>
        <v>0.77548992442121545</v>
      </c>
      <c r="J11" s="13">
        <v>1</v>
      </c>
      <c r="K11" s="13">
        <v>1</v>
      </c>
      <c r="L11" s="14">
        <v>1</v>
      </c>
    </row>
    <row r="12" spans="1:14">
      <c r="H12" s="5" t="s">
        <v>27</v>
      </c>
      <c r="I12" s="6">
        <f>1/(1+ABS(I5-0.6))</f>
        <v>0.86702786899758455</v>
      </c>
      <c r="J12" s="6">
        <f>1/(1+ABS(J5-0.6))</f>
        <v>0.89434972617057151</v>
      </c>
      <c r="K12" s="6">
        <f>1/(1+ABS(K5-0.6))</f>
        <v>0.90071118451338794</v>
      </c>
      <c r="L12" s="7">
        <f>1/(1+ABS(L5-0.6))</f>
        <v>0.92331287339312929</v>
      </c>
    </row>
    <row r="13" spans="1:14">
      <c r="H13" s="8" t="s">
        <v>28</v>
      </c>
      <c r="I13" s="9">
        <f>1/(1+ABS(I6-$B$22))</f>
        <v>0.45045071050603974</v>
      </c>
      <c r="J13" s="9">
        <f t="shared" ref="J13:L13" si="5">1/(1+ABS(J6-$B$22))</f>
        <v>0.41932019657776681</v>
      </c>
      <c r="K13" s="9">
        <f t="shared" si="5"/>
        <v>1</v>
      </c>
      <c r="L13" s="10">
        <f t="shared" si="5"/>
        <v>0.42016807041567805</v>
      </c>
    </row>
    <row r="17" spans="1:12" ht="17.25">
      <c r="A17" s="2" t="s">
        <v>10</v>
      </c>
      <c r="B17" s="3">
        <f>0.1</f>
        <v>0.1</v>
      </c>
      <c r="C17" s="24">
        <f>0.25</f>
        <v>0.25</v>
      </c>
    </row>
    <row r="18" spans="1:12" ht="17.25">
      <c r="A18" s="5" t="s">
        <v>12</v>
      </c>
      <c r="B18" s="16">
        <f>0.5</f>
        <v>0.5</v>
      </c>
      <c r="C18" s="7">
        <f>1</f>
        <v>1</v>
      </c>
    </row>
    <row r="19" spans="1:12">
      <c r="A19" s="5" t="s">
        <v>14</v>
      </c>
      <c r="B19" s="6">
        <f>1</f>
        <v>1</v>
      </c>
      <c r="C19" s="7">
        <f>2.5</f>
        <v>2.5</v>
      </c>
    </row>
    <row r="20" spans="1:12">
      <c r="A20" s="5" t="s">
        <v>16</v>
      </c>
      <c r="B20" s="6">
        <f>0.6</f>
        <v>0.6</v>
      </c>
      <c r="C20" s="7"/>
    </row>
    <row r="21" spans="1:12">
      <c r="A21" s="5"/>
      <c r="B21" s="6"/>
      <c r="C21" s="7"/>
      <c r="H21" s="2" t="s">
        <v>29</v>
      </c>
      <c r="I21" s="3">
        <f>MIN(I9:I13)</f>
        <v>0.45045071050603974</v>
      </c>
      <c r="J21" s="3">
        <f>MIN(J9:J13)</f>
        <v>0.41932019657776681</v>
      </c>
      <c r="K21" s="25">
        <f>MIN(K9:K13)</f>
        <v>0.52191943127962082</v>
      </c>
      <c r="L21" s="4">
        <f>MIN(L9:L13)</f>
        <v>0.42016807041567805</v>
      </c>
    </row>
    <row r="22" spans="1:12">
      <c r="A22" s="5" t="s">
        <v>30</v>
      </c>
      <c r="B22" s="6">
        <f>MAX(I6:L6)</f>
        <v>1.4999988529347663</v>
      </c>
      <c r="C22" s="7"/>
      <c r="H22" s="8" t="s">
        <v>31</v>
      </c>
      <c r="I22" s="9">
        <f>MAX(I21:L21)</f>
        <v>0.52191943127962082</v>
      </c>
      <c r="J22" s="9"/>
      <c r="K22" s="9"/>
      <c r="L22" s="10"/>
    </row>
    <row r="23" spans="1:12">
      <c r="A23" s="8" t="s">
        <v>32</v>
      </c>
      <c r="B23" s="9">
        <f>MIN(I6:L6)</f>
        <v>0.11518646335424018</v>
      </c>
      <c r="C23" s="10"/>
    </row>
    <row r="25" spans="1:12">
      <c r="H25" s="2" t="s">
        <v>33</v>
      </c>
      <c r="I25" s="3">
        <f>SUM(I9:I13)/5</f>
        <v>0.77196104772374352</v>
      </c>
      <c r="J25" s="3">
        <f t="shared" ref="J25:L25" si="6">SUM(J9:J13)/5</f>
        <v>0.86273398454966765</v>
      </c>
      <c r="K25" s="25">
        <f t="shared" si="6"/>
        <v>0.88452612315860191</v>
      </c>
      <c r="L25" s="4">
        <f>SUM(L9:L13)/5</f>
        <v>0.86869618876176147</v>
      </c>
    </row>
    <row r="26" spans="1:12">
      <c r="H26" s="8" t="s">
        <v>31</v>
      </c>
      <c r="I26" s="9">
        <f>MAX(I25:L25)</f>
        <v>0.88452612315860191</v>
      </c>
      <c r="J26" s="9"/>
      <c r="K26" s="9"/>
      <c r="L26" s="10"/>
    </row>
    <row r="29" spans="1:12">
      <c r="H29" s="2" t="s">
        <v>34</v>
      </c>
      <c r="I29" s="25">
        <f>MIN(I9^0.2,I10^0.3,I11^0.3,I12^0.1,I13^0.1)</f>
        <v>0.92334654320028309</v>
      </c>
      <c r="J29" s="3">
        <f t="shared" ref="J29:L29" si="7">MIN(J9^0.2,J10^0.3,J11^0.3,J12^0.1,J13^0.1)</f>
        <v>0.91675772472485084</v>
      </c>
      <c r="K29" s="3">
        <f t="shared" si="7"/>
        <v>0.8780529234866794</v>
      </c>
      <c r="L29" s="27">
        <f t="shared" si="7"/>
        <v>0.916942926518997</v>
      </c>
    </row>
    <row r="30" spans="1:12">
      <c r="H30" s="8" t="s">
        <v>31</v>
      </c>
      <c r="I30" s="9">
        <f>MAX(I29:L29)</f>
        <v>0.92334654320028309</v>
      </c>
      <c r="J30" s="9"/>
      <c r="K30" s="9"/>
      <c r="L30" s="10"/>
    </row>
    <row r="33" spans="8:12">
      <c r="H33" s="2" t="s">
        <v>35</v>
      </c>
      <c r="I33" s="3">
        <f>SUM(I9^0.2,I10^0.3,I11^0.3,I12^0.1,I13^0.1)/5</f>
        <v>0.95183652056199164</v>
      </c>
      <c r="J33" s="3">
        <f t="shared" ref="J33:L33" si="8">SUM(J9^0.2,J10^0.3,J11^0.3,J12^0.1,J13^0.1)/5</f>
        <v>0.98113079851164398</v>
      </c>
      <c r="K33" s="3">
        <f t="shared" si="8"/>
        <v>0.97353006924204732</v>
      </c>
      <c r="L33" s="26">
        <f t="shared" si="8"/>
        <v>0.98179919184255282</v>
      </c>
    </row>
    <row r="34" spans="8:12">
      <c r="H34" s="8" t="s">
        <v>31</v>
      </c>
      <c r="I34" s="9">
        <f>MAX(I33:L33)</f>
        <v>0.98179919184255282</v>
      </c>
      <c r="J34" s="9"/>
      <c r="K34" s="9"/>
      <c r="L34" s="10"/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2025-04-10T05:53:21Z</dcterms:created>
  <dcterms:modified xsi:type="dcterms:W3CDTF">2025-04-10T11:09:03Z</dcterms:modified>
  <cp:category/>
  <cp:contentStatus/>
</cp:coreProperties>
</file>