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x1k\Desktop\"/>
    </mc:Choice>
  </mc:AlternateContent>
  <xr:revisionPtr revIDLastSave="0" documentId="13_ncr:1_{B90EDE8C-E8C4-4E11-B635-404E89410E4F}" xr6:coauthVersionLast="47" xr6:coauthVersionMax="47" xr10:uidLastSave="{00000000-0000-0000-0000-000000000000}"/>
  <bookViews>
    <workbookView xWindow="-120" yWindow="-120" windowWidth="29040" windowHeight="15720" activeTab="2" xr2:uid="{B715BD6D-B6E4-4394-A1A5-B977521D3831}"/>
  </bookViews>
  <sheets>
    <sheet name="Задача 1" sheetId="2" r:id="rId1"/>
    <sheet name="Задача 2" sheetId="1" r:id="rId2"/>
    <sheet name="Задача 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5" i="3" l="1"/>
  <c r="H26" i="3"/>
  <c r="H27" i="3"/>
  <c r="H28" i="3"/>
  <c r="H24" i="3"/>
  <c r="F30" i="3"/>
  <c r="E30" i="3"/>
  <c r="D30" i="3"/>
  <c r="H17" i="3"/>
  <c r="H18" i="3"/>
  <c r="H16" i="3"/>
  <c r="F20" i="3"/>
  <c r="E20" i="3"/>
  <c r="D20" i="3"/>
  <c r="F28" i="3"/>
  <c r="F26" i="3"/>
  <c r="F25" i="3"/>
  <c r="E26" i="3"/>
  <c r="E24" i="3"/>
  <c r="D27" i="3"/>
  <c r="D24" i="3"/>
  <c r="F18" i="3"/>
  <c r="E17" i="3"/>
  <c r="D16" i="3"/>
  <c r="P12" i="3"/>
  <c r="O12" i="3"/>
  <c r="R12" i="3" s="1"/>
  <c r="O11" i="3"/>
  <c r="L11" i="3"/>
  <c r="L10" i="3"/>
  <c r="F11" i="3"/>
  <c r="F10" i="3"/>
  <c r="K12" i="3"/>
  <c r="E12" i="3"/>
  <c r="K11" i="3"/>
  <c r="R11" i="3"/>
  <c r="R10" i="3"/>
  <c r="K10" i="3"/>
  <c r="E11" i="3"/>
  <c r="E10" i="3"/>
  <c r="E4" i="3"/>
  <c r="D5" i="3"/>
  <c r="C4" i="3"/>
  <c r="D3" i="3"/>
  <c r="F4" i="3"/>
  <c r="E3" i="3"/>
  <c r="C5" i="3"/>
  <c r="F5" i="3"/>
  <c r="F3" i="3"/>
  <c r="E5" i="3"/>
  <c r="D4" i="3"/>
  <c r="C3" i="3"/>
  <c r="C22" i="1"/>
  <c r="C21" i="1"/>
  <c r="C20" i="1"/>
  <c r="B22" i="1"/>
  <c r="B21" i="1"/>
  <c r="B20" i="1"/>
  <c r="C19" i="1"/>
  <c r="B19" i="1"/>
  <c r="B18" i="1"/>
  <c r="D22" i="1"/>
  <c r="D21" i="1"/>
  <c r="D20" i="1"/>
  <c r="D18" i="1"/>
  <c r="H18" i="1" s="1"/>
  <c r="E22" i="1"/>
  <c r="E21" i="1"/>
  <c r="E19" i="1"/>
  <c r="E18" i="1"/>
  <c r="F22" i="1"/>
  <c r="F20" i="1"/>
  <c r="F19" i="1"/>
  <c r="F18" i="1"/>
  <c r="G21" i="1"/>
  <c r="G20" i="1"/>
  <c r="G19" i="1"/>
  <c r="G18" i="1"/>
  <c r="G17" i="1"/>
  <c r="F17" i="1"/>
  <c r="E17" i="1"/>
  <c r="D17" i="1"/>
  <c r="C17" i="1"/>
  <c r="V29" i="1"/>
  <c r="R29" i="1"/>
  <c r="N28" i="1"/>
  <c r="F27" i="1"/>
  <c r="B29" i="1"/>
  <c r="G22" i="1"/>
  <c r="H22" i="1" s="1"/>
  <c r="F21" i="1"/>
  <c r="E20" i="1"/>
  <c r="D19" i="1"/>
  <c r="C18" i="1"/>
  <c r="B17" i="1"/>
  <c r="S5" i="1"/>
  <c r="S4" i="1"/>
  <c r="V28" i="1" s="1"/>
  <c r="S3" i="1"/>
  <c r="V27" i="1" s="1"/>
  <c r="V30" i="1" s="1"/>
  <c r="W29" i="1" s="1"/>
  <c r="G36" i="1" s="1"/>
  <c r="R5" i="1"/>
  <c r="R4" i="1"/>
  <c r="R28" i="1" s="1"/>
  <c r="R3" i="1"/>
  <c r="R27" i="1" s="1"/>
  <c r="R30" i="1" s="1"/>
  <c r="S29" i="1" s="1"/>
  <c r="F36" i="1" s="1"/>
  <c r="Q5" i="1"/>
  <c r="N29" i="1" s="1"/>
  <c r="Q4" i="1"/>
  <c r="Q3" i="1"/>
  <c r="N27" i="1" s="1"/>
  <c r="P5" i="1"/>
  <c r="J29" i="1" s="1"/>
  <c r="P4" i="1"/>
  <c r="J28" i="1" s="1"/>
  <c r="P3" i="1"/>
  <c r="J27" i="1" s="1"/>
  <c r="O5" i="1"/>
  <c r="F29" i="1" s="1"/>
  <c r="O4" i="1"/>
  <c r="F28" i="1" s="1"/>
  <c r="O3" i="1"/>
  <c r="N5" i="1"/>
  <c r="N4" i="1"/>
  <c r="B28" i="1" s="1"/>
  <c r="N3" i="1"/>
  <c r="B27" i="1" s="1"/>
  <c r="H19" i="1"/>
  <c r="H20" i="1"/>
  <c r="H21" i="1"/>
  <c r="K27" i="2"/>
  <c r="K26" i="2"/>
  <c r="K14" i="2"/>
  <c r="U9" i="2"/>
  <c r="U8" i="2"/>
  <c r="T9" i="2"/>
  <c r="K21" i="2" s="1"/>
  <c r="T8" i="2"/>
  <c r="K20" i="2" s="1"/>
  <c r="S9" i="2"/>
  <c r="K15" i="2" s="1"/>
  <c r="S8" i="2"/>
  <c r="R9" i="2"/>
  <c r="K9" i="2" s="1"/>
  <c r="R8" i="2"/>
  <c r="K8" i="2" s="1"/>
  <c r="F11" i="2"/>
  <c r="E11" i="2"/>
  <c r="G11" i="2" s="1"/>
  <c r="D11" i="2"/>
  <c r="C11" i="2"/>
  <c r="F10" i="2"/>
  <c r="E10" i="2"/>
  <c r="D10" i="2"/>
  <c r="C10" i="2"/>
  <c r="F9" i="2"/>
  <c r="E9" i="2"/>
  <c r="D9" i="2"/>
  <c r="C9" i="2"/>
  <c r="F8" i="2"/>
  <c r="G8" i="2" s="1"/>
  <c r="E8" i="2"/>
  <c r="D8" i="2"/>
  <c r="C8" i="2"/>
  <c r="G9" i="2"/>
  <c r="G10" i="2"/>
  <c r="R13" i="3" l="1"/>
  <c r="S11" i="3" s="1"/>
  <c r="K10" i="2"/>
  <c r="L8" i="2" s="1"/>
  <c r="C15" i="2" s="1"/>
  <c r="G29" i="1"/>
  <c r="C36" i="1" s="1"/>
  <c r="B30" i="1"/>
  <c r="C28" i="1" s="1"/>
  <c r="B35" i="1" s="1"/>
  <c r="L9" i="2"/>
  <c r="C16" i="2" s="1"/>
  <c r="C29" i="1"/>
  <c r="B36" i="1" s="1"/>
  <c r="K16" i="2"/>
  <c r="L15" i="2" s="1"/>
  <c r="D16" i="2" s="1"/>
  <c r="G27" i="1"/>
  <c r="C34" i="1" s="1"/>
  <c r="K29" i="1"/>
  <c r="D36" i="1" s="1"/>
  <c r="K28" i="2"/>
  <c r="L27" i="2" s="1"/>
  <c r="F16" i="2" s="1"/>
  <c r="F6" i="3"/>
  <c r="H17" i="1"/>
  <c r="H23" i="1" s="1"/>
  <c r="W27" i="1"/>
  <c r="G34" i="1" s="1"/>
  <c r="W28" i="1"/>
  <c r="G35" i="1" s="1"/>
  <c r="S28" i="1"/>
  <c r="F35" i="1" s="1"/>
  <c r="S27" i="1"/>
  <c r="F34" i="1" s="1"/>
  <c r="N30" i="1"/>
  <c r="J30" i="1"/>
  <c r="K28" i="1" s="1"/>
  <c r="D35" i="1" s="1"/>
  <c r="F30" i="1"/>
  <c r="G28" i="1" s="1"/>
  <c r="C35" i="1" s="1"/>
  <c r="K22" i="2"/>
  <c r="L21" i="2" s="1"/>
  <c r="E16" i="2" s="1"/>
  <c r="G12" i="2"/>
  <c r="S12" i="3" l="1"/>
  <c r="S10" i="3"/>
  <c r="C27" i="1"/>
  <c r="B34" i="1" s="1"/>
  <c r="L14" i="2"/>
  <c r="D15" i="2" s="1"/>
  <c r="G15" i="2" s="1"/>
  <c r="L26" i="2"/>
  <c r="F15" i="2" s="1"/>
  <c r="K27" i="1"/>
  <c r="D34" i="1" s="1"/>
  <c r="G4" i="3"/>
  <c r="G5" i="3"/>
  <c r="G3" i="3"/>
  <c r="O27" i="1"/>
  <c r="E34" i="1" s="1"/>
  <c r="O28" i="1"/>
  <c r="E35" i="1" s="1"/>
  <c r="O29" i="1"/>
  <c r="E36" i="1" s="1"/>
  <c r="I18" i="1"/>
  <c r="C39" i="1" s="1"/>
  <c r="I19" i="1"/>
  <c r="D39" i="1" s="1"/>
  <c r="I20" i="1"/>
  <c r="E39" i="1" s="1"/>
  <c r="I21" i="1"/>
  <c r="F39" i="1" s="1"/>
  <c r="I22" i="1"/>
  <c r="G39" i="1" s="1"/>
  <c r="I17" i="1"/>
  <c r="B39" i="1" s="1"/>
  <c r="H35" i="1" s="1"/>
  <c r="L20" i="2"/>
  <c r="E15" i="2" s="1"/>
  <c r="H10" i="2"/>
  <c r="E19" i="2" s="1"/>
  <c r="H11" i="2"/>
  <c r="F19" i="2" s="1"/>
  <c r="H9" i="2"/>
  <c r="D19" i="2" s="1"/>
  <c r="G16" i="2" s="1"/>
  <c r="H8" i="2"/>
  <c r="C19" i="2" s="1"/>
  <c r="H36" i="1" l="1"/>
  <c r="H34" i="1"/>
</calcChain>
</file>

<file path=xl/sharedStrings.xml><?xml version="1.0" encoding="utf-8"?>
<sst xmlns="http://schemas.openxmlformats.org/spreadsheetml/2006/main" count="172" uniqueCount="48">
  <si>
    <t>ц</t>
  </si>
  <si>
    <t>ЛП</t>
  </si>
  <si>
    <t>НЛПц</t>
  </si>
  <si>
    <t>к1</t>
  </si>
  <si>
    <t>к2</t>
  </si>
  <si>
    <t>к3</t>
  </si>
  <si>
    <t>к4</t>
  </si>
  <si>
    <t>к5</t>
  </si>
  <si>
    <t>к6</t>
  </si>
  <si>
    <t>а1</t>
  </si>
  <si>
    <t>а2</t>
  </si>
  <si>
    <t>а3</t>
  </si>
  <si>
    <t>К1-затраты ресурсов</t>
  </si>
  <si>
    <t>К2-затраты труда</t>
  </si>
  <si>
    <t>К3-прибыть от реализации продукции</t>
  </si>
  <si>
    <t>К4-объёмы внутреннего потребления продукции</t>
  </si>
  <si>
    <t>А1-растениеводство</t>
  </si>
  <si>
    <t>А2-животноводство</t>
  </si>
  <si>
    <t>ц-более доходное направление</t>
  </si>
  <si>
    <t>НЛПк1</t>
  </si>
  <si>
    <t>ГПА=</t>
  </si>
  <si>
    <t>НЛПк2</t>
  </si>
  <si>
    <t>НЛПк3</t>
  </si>
  <si>
    <t>НЛПк4</t>
  </si>
  <si>
    <t>ГПА</t>
  </si>
  <si>
    <t>ц-оптимальное сочетание объемов выпуска продукции всех трех сортов</t>
  </si>
  <si>
    <t>к1-Затраты материалов</t>
  </si>
  <si>
    <t>к2-Затраты труда</t>
  </si>
  <si>
    <t>к3-Затраты  времени оборудования</t>
  </si>
  <si>
    <t>к4-Спрос на продукцию по результатам работы фокусной группы потребителей</t>
  </si>
  <si>
    <t>к5-Объем заказов</t>
  </si>
  <si>
    <t>к6-Цена реализации</t>
  </si>
  <si>
    <t>а2-B</t>
  </si>
  <si>
    <t>а3-C</t>
  </si>
  <si>
    <t>а1-A</t>
  </si>
  <si>
    <t>ЛПк1</t>
  </si>
  <si>
    <t>ЛПк2</t>
  </si>
  <si>
    <t>ЛПк3</t>
  </si>
  <si>
    <t>ЛПк4</t>
  </si>
  <si>
    <t>ЛПк5</t>
  </si>
  <si>
    <t>ЛПк6</t>
  </si>
  <si>
    <t>НЛПк5</t>
  </si>
  <si>
    <t>НЛПк6</t>
  </si>
  <si>
    <t>а4</t>
  </si>
  <si>
    <t>а5</t>
  </si>
  <si>
    <t>L=</t>
  </si>
  <si>
    <t>М=</t>
  </si>
  <si>
    <t>* НЛПц=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</si>
</sst>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theme="1"/>
      <name val="Arimo"/>
      <charset val="204"/>
    </font>
    <font>
      <sz val="10"/>
      <color theme="1"/>
      <name val="Arimo"/>
      <charset val="204"/>
    </font>
    <font>
      <b/>
      <sz val="10"/>
      <color theme="1"/>
      <name val="Arimo"/>
      <charset val="204"/>
    </font>
    <font>
      <b/>
      <sz val="10"/>
      <color rgb="FFFFFFFF"/>
      <name val="Arimo"/>
      <charset val="204"/>
    </font>
    <font>
      <sz val="10"/>
      <color rgb="FFCC0000"/>
      <name val="Arimo"/>
      <charset val="204"/>
    </font>
    <font>
      <i/>
      <sz val="10"/>
      <color rgb="FF808080"/>
      <name val="Arimo"/>
      <charset val="204"/>
    </font>
    <font>
      <sz val="10"/>
      <color rgb="FF006600"/>
      <name val="Arimo"/>
      <charset val="204"/>
    </font>
    <font>
      <b/>
      <sz val="24"/>
      <color rgb="FF000000"/>
      <name val="Arimo"/>
      <charset val="204"/>
    </font>
    <font>
      <b/>
      <sz val="18"/>
      <color rgb="FF000000"/>
      <name val="Arimo"/>
      <charset val="204"/>
    </font>
    <font>
      <b/>
      <sz val="12"/>
      <color rgb="FF000000"/>
      <name val="Arimo"/>
      <charset val="204"/>
    </font>
    <font>
      <u/>
      <sz val="10"/>
      <color rgb="FF0000EE"/>
      <name val="Arimo"/>
      <charset val="204"/>
    </font>
    <font>
      <sz val="10"/>
      <color rgb="FF996600"/>
      <name val="Arimo"/>
      <charset val="204"/>
    </font>
    <font>
      <sz val="10"/>
      <color rgb="FF333333"/>
      <name val="Arimo"/>
      <charset val="204"/>
    </font>
    <font>
      <b/>
      <i/>
      <u/>
      <sz val="10"/>
      <color theme="1"/>
      <name val="Arimo"/>
      <charset val="204"/>
    </font>
    <font>
      <sz val="10"/>
      <color rgb="FF000000"/>
      <name val="Arimo"/>
      <charset val="204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0">
    <xf numFmtId="0" fontId="0" fillId="0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1" fillId="0" borderId="0" applyNumberFormat="0" applyFont="0" applyFill="0" applyBorder="0" applyAlignment="0" applyProtection="0"/>
    <xf numFmtId="0" fontId="3" fillId="6" borderId="0"/>
    <xf numFmtId="0" fontId="5" fillId="0" borderId="0"/>
    <xf numFmtId="0" fontId="6" fillId="7" borderId="0"/>
    <xf numFmtId="0" fontId="7" fillId="0" borderId="0"/>
    <xf numFmtId="0" fontId="8" fillId="0" borderId="0"/>
    <xf numFmtId="0" fontId="9" fillId="0" borderId="0"/>
    <xf numFmtId="0" fontId="10" fillId="0" borderId="0"/>
    <xf numFmtId="0" fontId="11" fillId="8" borderId="0"/>
    <xf numFmtId="0" fontId="12" fillId="8" borderId="1"/>
    <xf numFmtId="0" fontId="13" fillId="0" borderId="0"/>
    <xf numFmtId="0" fontId="1" fillId="0" borderId="0"/>
    <xf numFmtId="0" fontId="1" fillId="0" borderId="0"/>
    <xf numFmtId="0" fontId="4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2" xfId="0" applyBorder="1" applyAlignment="1">
      <alignment horizontal="right"/>
    </xf>
    <xf numFmtId="2" fontId="0" fillId="0" borderId="0" xfId="0" applyNumberFormat="1"/>
    <xf numFmtId="0" fontId="14" fillId="0" borderId="0" xfId="0" applyFont="1"/>
    <xf numFmtId="2" fontId="0" fillId="0" borderId="0" xfId="0" applyNumberFormat="1" applyAlignment="1">
      <alignment horizontal="center"/>
    </xf>
    <xf numFmtId="2" fontId="0" fillId="0" borderId="2" xfId="0" applyNumberFormat="1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right"/>
    </xf>
  </cellXfs>
  <cellStyles count="20">
    <cellStyle name="Accent" xfId="1" xr:uid="{9789E3F4-0753-4D25-9EF4-E56642431C44}"/>
    <cellStyle name="Accent 1" xfId="2" xr:uid="{6884162E-FA49-4755-B5EC-A56206955000}"/>
    <cellStyle name="Accent 2" xfId="3" xr:uid="{6CE7B716-7283-4B7D-88BB-81D2D7420DE4}"/>
    <cellStyle name="Accent 3" xfId="4" xr:uid="{073191B2-01C2-424D-92EE-345CD87C5F82}"/>
    <cellStyle name="Bad" xfId="5" xr:uid="{2D735A7B-88A3-49C7-8085-A693F38904F6}"/>
    <cellStyle name="Default" xfId="6" xr:uid="{C39ADA15-7F96-4517-BEB8-0CD81C336AB0}"/>
    <cellStyle name="Error" xfId="7" xr:uid="{19CA7FF6-DAAA-46D5-B14A-F5FB9D5DE4E7}"/>
    <cellStyle name="Footnote" xfId="8" xr:uid="{BF05A5E1-195D-4A1C-A302-15528509E071}"/>
    <cellStyle name="Good" xfId="9" xr:uid="{7406180E-9F77-4DCC-8156-3385D55596BD}"/>
    <cellStyle name="Heading" xfId="10" xr:uid="{BF7FA84E-E8C1-40BE-895A-5E3F83435955}"/>
    <cellStyle name="Heading 1" xfId="11" xr:uid="{F6FB5949-01FC-472A-B2E8-17341819B3E8}"/>
    <cellStyle name="Heading 2" xfId="12" xr:uid="{F127A983-54B3-4CEE-8CEA-46A605DC9E8A}"/>
    <cellStyle name="Hyperlink" xfId="13" xr:uid="{9D374292-60F8-4F8B-96A1-5A82661C626F}"/>
    <cellStyle name="Neutral" xfId="14" xr:uid="{5E5D7DDE-2CF7-4030-9779-C0D3CE292D5C}"/>
    <cellStyle name="Note" xfId="15" xr:uid="{B96B132A-722B-4C22-B223-AB0D7E29C274}"/>
    <cellStyle name="Result" xfId="16" xr:uid="{10380410-5B35-495C-AA4C-F9E42CF51E8E}"/>
    <cellStyle name="Status" xfId="17" xr:uid="{F1813F93-1509-43F9-AE6C-BC1308A11143}"/>
    <cellStyle name="Text" xfId="18" xr:uid="{0E02F3D2-4F13-4FCB-8CC8-CE0C70D9D63E}"/>
    <cellStyle name="Warning" xfId="19" xr:uid="{D324D47E-3CCA-4101-8577-414BAB3A3A2C}"/>
    <cellStyle name="Обычный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6AC38-BD77-4DCE-BCA2-D033F50A90BF}">
  <dimension ref="A1:U28"/>
  <sheetViews>
    <sheetView workbookViewId="0">
      <selection activeCell="L27" sqref="L27"/>
    </sheetView>
  </sheetViews>
  <sheetFormatPr defaultRowHeight="12.75"/>
  <cols>
    <col min="7" max="7" width="16.85546875" customWidth="1"/>
    <col min="12" max="12" width="9.140625" customWidth="1"/>
  </cols>
  <sheetData>
    <row r="1" spans="1:21">
      <c r="G1" t="s">
        <v>12</v>
      </c>
      <c r="M1" t="s">
        <v>16</v>
      </c>
      <c r="Q1" t="s">
        <v>18</v>
      </c>
    </row>
    <row r="2" spans="1:21">
      <c r="G2" t="s">
        <v>13</v>
      </c>
      <c r="M2" t="s">
        <v>17</v>
      </c>
    </row>
    <row r="3" spans="1:21">
      <c r="G3" t="s">
        <v>14</v>
      </c>
    </row>
    <row r="4" spans="1:21">
      <c r="G4" t="s">
        <v>15</v>
      </c>
    </row>
    <row r="7" spans="1:21">
      <c r="B7" s="2" t="s">
        <v>0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1</v>
      </c>
      <c r="H7" s="2" t="s">
        <v>2</v>
      </c>
      <c r="J7" s="1"/>
      <c r="K7" s="2" t="s">
        <v>3</v>
      </c>
      <c r="L7" s="2" t="s">
        <v>19</v>
      </c>
      <c r="M7" s="1"/>
      <c r="N7" s="1"/>
      <c r="O7" s="1"/>
      <c r="Q7" s="1"/>
      <c r="R7" s="2" t="s">
        <v>3</v>
      </c>
      <c r="S7" s="2" t="s">
        <v>4</v>
      </c>
      <c r="T7" s="2" t="s">
        <v>5</v>
      </c>
      <c r="U7" s="2" t="s">
        <v>6</v>
      </c>
    </row>
    <row r="8" spans="1:21">
      <c r="B8" s="2" t="s">
        <v>3</v>
      </c>
      <c r="C8" s="2">
        <f>1</f>
        <v>1</v>
      </c>
      <c r="D8" s="2">
        <f>1</f>
        <v>1</v>
      </c>
      <c r="E8" s="2">
        <f>1</f>
        <v>1</v>
      </c>
      <c r="F8" s="2">
        <f>1</f>
        <v>1</v>
      </c>
      <c r="G8" s="2">
        <f>GEOMEAN(C8:F8)</f>
        <v>1</v>
      </c>
      <c r="H8" s="2">
        <f>G8/$G$12</f>
        <v>0.25</v>
      </c>
      <c r="J8" s="2" t="s">
        <v>9</v>
      </c>
      <c r="K8" s="2">
        <f>1/R8</f>
        <v>8.3333333333333339E-4</v>
      </c>
      <c r="L8" s="2">
        <f>K8/$K$10</f>
        <v>0.6</v>
      </c>
      <c r="M8" s="1"/>
      <c r="N8" s="1"/>
      <c r="O8" s="1"/>
      <c r="Q8" s="2" t="s">
        <v>9</v>
      </c>
      <c r="R8" s="2">
        <f>1200</f>
        <v>1200</v>
      </c>
      <c r="S8" s="2">
        <f>490</f>
        <v>490</v>
      </c>
      <c r="T8" s="2">
        <f>2800</f>
        <v>2800</v>
      </c>
      <c r="U8" s="2">
        <f>1200</f>
        <v>1200</v>
      </c>
    </row>
    <row r="9" spans="1:21">
      <c r="B9" s="2" t="s">
        <v>4</v>
      </c>
      <c r="C9" s="2">
        <f>1</f>
        <v>1</v>
      </c>
      <c r="D9" s="2">
        <f>1</f>
        <v>1</v>
      </c>
      <c r="E9" s="2">
        <f>1</f>
        <v>1</v>
      </c>
      <c r="F9" s="2">
        <f>1</f>
        <v>1</v>
      </c>
      <c r="G9" s="2">
        <f t="shared" ref="G9:G11" si="0">GEOMEAN(C9:F9)</f>
        <v>1</v>
      </c>
      <c r="H9" s="2">
        <f>G9/$G$12</f>
        <v>0.25</v>
      </c>
      <c r="J9" s="2" t="s">
        <v>10</v>
      </c>
      <c r="K9" s="2">
        <f>1/R9</f>
        <v>5.5555555555555556E-4</v>
      </c>
      <c r="L9" s="2">
        <f>K9/$K$10</f>
        <v>0.39999999999999997</v>
      </c>
      <c r="M9" s="1"/>
      <c r="N9" s="1"/>
      <c r="O9" s="1"/>
      <c r="Q9" s="2" t="s">
        <v>10</v>
      </c>
      <c r="R9" s="2">
        <f>1800</f>
        <v>1800</v>
      </c>
      <c r="S9" s="2">
        <f>550</f>
        <v>550</v>
      </c>
      <c r="T9" s="2">
        <f>4100</f>
        <v>4100</v>
      </c>
      <c r="U9" s="2">
        <f>800</f>
        <v>800</v>
      </c>
    </row>
    <row r="10" spans="1:21">
      <c r="B10" s="2" t="s">
        <v>5</v>
      </c>
      <c r="C10" s="2">
        <f>1</f>
        <v>1</v>
      </c>
      <c r="D10" s="2">
        <f>1</f>
        <v>1</v>
      </c>
      <c r="E10" s="2">
        <f>1</f>
        <v>1</v>
      </c>
      <c r="F10" s="2">
        <f>1</f>
        <v>1</v>
      </c>
      <c r="G10" s="2">
        <f t="shared" si="0"/>
        <v>1</v>
      </c>
      <c r="H10" s="2">
        <f t="shared" ref="H10:H11" si="1">G10/$G$12</f>
        <v>0.25</v>
      </c>
      <c r="J10" s="1"/>
      <c r="K10" s="2">
        <f>SUM(K8:K9)</f>
        <v>1.3888888888888889E-3</v>
      </c>
      <c r="L10" s="1"/>
      <c r="M10" s="1"/>
      <c r="N10" s="1"/>
      <c r="O10" s="1"/>
      <c r="Q10" s="1"/>
      <c r="R10" s="1"/>
      <c r="S10" s="1"/>
      <c r="T10" s="1"/>
      <c r="U10" s="1"/>
    </row>
    <row r="11" spans="1:21">
      <c r="B11" s="2" t="s">
        <v>6</v>
      </c>
      <c r="C11" s="2">
        <f>1</f>
        <v>1</v>
      </c>
      <c r="D11" s="2">
        <f>1</f>
        <v>1</v>
      </c>
      <c r="E11" s="2">
        <f>1</f>
        <v>1</v>
      </c>
      <c r="F11" s="2">
        <f>1</f>
        <v>1</v>
      </c>
      <c r="G11" s="2">
        <f t="shared" si="0"/>
        <v>1</v>
      </c>
      <c r="H11" s="2">
        <f t="shared" si="1"/>
        <v>0.25</v>
      </c>
      <c r="J11" s="1"/>
      <c r="K11" s="1"/>
      <c r="L11" s="1"/>
      <c r="Q11" s="1"/>
      <c r="R11" s="1"/>
      <c r="S11" s="1"/>
      <c r="T11" s="1"/>
      <c r="U11" s="1"/>
    </row>
    <row r="12" spans="1:21">
      <c r="G12" s="2">
        <f>SUM(G8:G11)</f>
        <v>4</v>
      </c>
      <c r="J12" s="1"/>
      <c r="K12" s="1"/>
      <c r="L12" s="1"/>
      <c r="M12" s="1"/>
      <c r="N12" s="1"/>
      <c r="O12" s="1"/>
      <c r="Q12" s="1"/>
      <c r="R12" s="1"/>
      <c r="S12" s="1"/>
      <c r="T12" s="1"/>
      <c r="U12" s="1"/>
    </row>
    <row r="13" spans="1:21">
      <c r="J13" s="1"/>
      <c r="K13" s="2" t="s">
        <v>4</v>
      </c>
      <c r="L13" s="2" t="s">
        <v>21</v>
      </c>
      <c r="M13" s="1"/>
      <c r="N13" s="1"/>
      <c r="O13" s="1"/>
      <c r="Q13" s="1"/>
      <c r="R13" s="1"/>
      <c r="S13" s="1"/>
      <c r="T13" s="1"/>
      <c r="U13" s="1"/>
    </row>
    <row r="14" spans="1:21">
      <c r="C14" s="3" t="s">
        <v>3</v>
      </c>
      <c r="D14" s="3" t="s">
        <v>4</v>
      </c>
      <c r="E14" s="3" t="s">
        <v>5</v>
      </c>
      <c r="F14" s="3" t="s">
        <v>6</v>
      </c>
      <c r="G14" s="3" t="s">
        <v>24</v>
      </c>
      <c r="J14" s="2" t="s">
        <v>9</v>
      </c>
      <c r="K14" s="2">
        <f>1/S8</f>
        <v>2.0408163265306124E-3</v>
      </c>
      <c r="L14" s="2">
        <f>K14/$K$16</f>
        <v>0.52884615384615385</v>
      </c>
      <c r="M14" s="1"/>
      <c r="N14" s="1"/>
      <c r="O14" s="1"/>
      <c r="Q14" s="1"/>
      <c r="R14" s="1"/>
      <c r="S14" s="1"/>
      <c r="T14" s="1"/>
      <c r="U14" s="1"/>
    </row>
    <row r="15" spans="1:21">
      <c r="A15" s="7" t="s">
        <v>20</v>
      </c>
      <c r="B15" s="3" t="s">
        <v>9</v>
      </c>
      <c r="C15" s="3">
        <f>L8</f>
        <v>0.6</v>
      </c>
      <c r="D15" s="3">
        <f>L14</f>
        <v>0.52884615384615385</v>
      </c>
      <c r="E15" s="3">
        <f>L20</f>
        <v>0.40579710144927539</v>
      </c>
      <c r="F15" s="3">
        <f>L26</f>
        <v>0.4</v>
      </c>
      <c r="G15" s="3">
        <f>SUMPRODUCT(C15:F15,C19:F19)</f>
        <v>0.48366081382385728</v>
      </c>
      <c r="J15" s="2" t="s">
        <v>10</v>
      </c>
      <c r="K15" s="2">
        <f>1/S9</f>
        <v>1.8181818181818182E-3</v>
      </c>
      <c r="L15" s="2">
        <f>K15/$K$16</f>
        <v>0.47115384615384615</v>
      </c>
      <c r="M15" s="1"/>
      <c r="N15" s="1"/>
      <c r="O15" s="1"/>
      <c r="Q15" s="1"/>
      <c r="R15" s="1"/>
      <c r="S15" s="1"/>
      <c r="T15" s="1"/>
      <c r="U15" s="1"/>
    </row>
    <row r="16" spans="1:21">
      <c r="B16" s="3" t="s">
        <v>10</v>
      </c>
      <c r="C16" s="3">
        <f>L9</f>
        <v>0.39999999999999997</v>
      </c>
      <c r="D16" s="3">
        <f>L15</f>
        <v>0.47115384615384615</v>
      </c>
      <c r="E16" s="3">
        <f>L21</f>
        <v>0.59420289855072461</v>
      </c>
      <c r="F16" s="3">
        <f>L27</f>
        <v>0.6</v>
      </c>
      <c r="G16" s="3">
        <f>SUMPRODUCT(C16:F16,C19:F19)</f>
        <v>0.51633918617614272</v>
      </c>
      <c r="J16" s="1"/>
      <c r="K16" s="2">
        <f>SUM(K14:K15)</f>
        <v>3.8589981447124306E-3</v>
      </c>
      <c r="L16" s="1"/>
      <c r="Q16" s="1"/>
      <c r="R16" s="1"/>
      <c r="S16" s="1"/>
      <c r="T16" s="1"/>
      <c r="U16" s="1"/>
    </row>
    <row r="17" spans="3:21">
      <c r="J17" s="1"/>
      <c r="K17" s="1"/>
      <c r="L17" s="1"/>
      <c r="M17" s="1"/>
      <c r="N17" s="1"/>
      <c r="O17" s="1"/>
      <c r="Q17" s="1"/>
      <c r="R17" s="1"/>
      <c r="S17" s="1"/>
      <c r="T17" s="1"/>
      <c r="U17" s="1"/>
    </row>
    <row r="18" spans="3:21">
      <c r="J18" s="1"/>
      <c r="K18" s="1"/>
      <c r="L18" s="1"/>
      <c r="M18" s="1"/>
      <c r="N18" s="1"/>
      <c r="O18" s="1"/>
    </row>
    <row r="19" spans="3:21">
      <c r="C19" s="4">
        <f>H8</f>
        <v>0.25</v>
      </c>
      <c r="D19" s="5">
        <f>H9</f>
        <v>0.25</v>
      </c>
      <c r="E19" s="5">
        <f>H10</f>
        <v>0.25</v>
      </c>
      <c r="F19" s="6">
        <f>H11</f>
        <v>0.25</v>
      </c>
      <c r="J19" s="1"/>
      <c r="K19" s="2" t="s">
        <v>5</v>
      </c>
      <c r="L19" s="2" t="s">
        <v>22</v>
      </c>
      <c r="M19" s="1"/>
      <c r="N19" s="1"/>
      <c r="O19" s="1"/>
    </row>
    <row r="20" spans="3:21">
      <c r="J20" s="2" t="s">
        <v>9</v>
      </c>
      <c r="K20" s="2">
        <f>T8</f>
        <v>2800</v>
      </c>
      <c r="L20" s="2">
        <f>K20/$K$22</f>
        <v>0.40579710144927539</v>
      </c>
      <c r="M20" s="1"/>
      <c r="N20" s="1"/>
      <c r="O20" s="1"/>
    </row>
    <row r="21" spans="3:21">
      <c r="J21" s="2" t="s">
        <v>10</v>
      </c>
      <c r="K21" s="2">
        <f>T9</f>
        <v>4100</v>
      </c>
      <c r="L21" s="2">
        <f>K21/$K$22</f>
        <v>0.59420289855072461</v>
      </c>
    </row>
    <row r="22" spans="3:21">
      <c r="J22" s="1"/>
      <c r="K22" s="2">
        <f>SUM(K20:K21)</f>
        <v>6900</v>
      </c>
      <c r="L22" s="1"/>
      <c r="M22" s="1"/>
      <c r="N22" s="1"/>
      <c r="O22" s="1"/>
    </row>
    <row r="23" spans="3:21">
      <c r="J23" s="1"/>
      <c r="K23" s="1"/>
      <c r="L23" s="1"/>
      <c r="M23" s="1"/>
      <c r="N23" s="1"/>
      <c r="O23" s="1"/>
    </row>
    <row r="24" spans="3:21">
      <c r="J24" s="1"/>
      <c r="K24" s="1"/>
      <c r="L24" s="1"/>
      <c r="M24" s="1"/>
      <c r="N24" s="1"/>
      <c r="O24" s="1"/>
    </row>
    <row r="25" spans="3:21">
      <c r="J25" s="1"/>
      <c r="K25" s="2" t="s">
        <v>6</v>
      </c>
      <c r="L25" s="2" t="s">
        <v>23</v>
      </c>
      <c r="M25" s="1"/>
      <c r="N25" s="1"/>
      <c r="O25" s="1"/>
    </row>
    <row r="26" spans="3:21">
      <c r="J26" s="2" t="s">
        <v>9</v>
      </c>
      <c r="K26" s="2">
        <f>1/U8</f>
        <v>8.3333333333333339E-4</v>
      </c>
      <c r="L26" s="2">
        <f>K26/$K$28</f>
        <v>0.4</v>
      </c>
    </row>
    <row r="27" spans="3:21">
      <c r="J27" s="2" t="s">
        <v>10</v>
      </c>
      <c r="K27" s="2">
        <f>1/U9</f>
        <v>1.25E-3</v>
      </c>
      <c r="L27" s="2">
        <f>K27/$K$28</f>
        <v>0.6</v>
      </c>
    </row>
    <row r="28" spans="3:21">
      <c r="K28" s="3">
        <f>SUM(K26:K27)</f>
        <v>2.0833333333333333E-3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FE9D6-5466-41EC-8546-DC8EAE3EA1BA}">
  <dimension ref="A1:AK39"/>
  <sheetViews>
    <sheetView workbookViewId="0">
      <selection activeCell="J33" sqref="J33"/>
    </sheetView>
  </sheetViews>
  <sheetFormatPr defaultColWidth="6.42578125" defaultRowHeight="11.25" customHeight="1"/>
  <cols>
    <col min="5" max="6" width="9" bestFit="1" customWidth="1"/>
    <col min="18" max="18" width="7" bestFit="1" customWidth="1"/>
    <col min="20" max="20" width="9" bestFit="1" customWidth="1"/>
    <col min="22" max="23" width="9" bestFit="1" customWidth="1"/>
    <col min="27" max="27" width="9" bestFit="1" customWidth="1"/>
    <col min="34" max="34" width="9" bestFit="1" customWidth="1"/>
    <col min="41" max="41" width="9" bestFit="1" customWidth="1"/>
  </cols>
  <sheetData>
    <row r="1" spans="1:19" ht="11.25" customHeight="1">
      <c r="A1" t="s">
        <v>25</v>
      </c>
    </row>
    <row r="2" spans="1:19" ht="11.25" customHeight="1">
      <c r="E2" s="8"/>
      <c r="F2" s="8"/>
      <c r="M2" s="1"/>
      <c r="N2" s="2" t="s">
        <v>3</v>
      </c>
      <c r="O2" s="2" t="s">
        <v>4</v>
      </c>
      <c r="P2" s="2" t="s">
        <v>5</v>
      </c>
      <c r="Q2" s="2" t="s">
        <v>6</v>
      </c>
      <c r="R2" s="2" t="s">
        <v>7</v>
      </c>
      <c r="S2" s="2" t="s">
        <v>8</v>
      </c>
    </row>
    <row r="3" spans="1:19" ht="11.25" customHeight="1">
      <c r="A3" t="s">
        <v>26</v>
      </c>
      <c r="E3" s="8"/>
      <c r="F3" s="8"/>
      <c r="M3" s="2" t="s">
        <v>9</v>
      </c>
      <c r="N3" s="2">
        <f>2.4</f>
        <v>2.4</v>
      </c>
      <c r="O3" s="2">
        <f>0.7</f>
        <v>0.7</v>
      </c>
      <c r="P3" s="2">
        <f>0.9</f>
        <v>0.9</v>
      </c>
      <c r="Q3" s="2">
        <f>30</f>
        <v>30</v>
      </c>
      <c r="R3" s="2">
        <f>1500</f>
        <v>1500</v>
      </c>
      <c r="S3" s="2">
        <f>2.7</f>
        <v>2.7</v>
      </c>
    </row>
    <row r="4" spans="1:19" ht="11.25" customHeight="1">
      <c r="A4" t="s">
        <v>27</v>
      </c>
      <c r="E4" s="8"/>
      <c r="F4" s="8"/>
      <c r="M4" s="2" t="s">
        <v>10</v>
      </c>
      <c r="N4" s="2">
        <f>1.9</f>
        <v>1.9</v>
      </c>
      <c r="O4" s="2">
        <f>0.6</f>
        <v>0.6</v>
      </c>
      <c r="P4" s="2">
        <f>1</f>
        <v>1</v>
      </c>
      <c r="Q4" s="2">
        <f>45</f>
        <v>45</v>
      </c>
      <c r="R4" s="2">
        <f>1900</f>
        <v>1900</v>
      </c>
      <c r="S4" s="2">
        <f>2.3</f>
        <v>2.2999999999999998</v>
      </c>
    </row>
    <row r="5" spans="1:19" ht="11.25" customHeight="1">
      <c r="A5" t="s">
        <v>28</v>
      </c>
      <c r="E5" s="8"/>
      <c r="F5" s="8"/>
      <c r="M5" s="2" t="s">
        <v>11</v>
      </c>
      <c r="N5" s="2">
        <f>1.7</f>
        <v>1.7</v>
      </c>
      <c r="O5" s="2">
        <f>0.5</f>
        <v>0.5</v>
      </c>
      <c r="P5" s="2">
        <f>0.9</f>
        <v>0.9</v>
      </c>
      <c r="Q5" s="2">
        <f>25</f>
        <v>25</v>
      </c>
      <c r="R5" s="2">
        <f>1900</f>
        <v>1900</v>
      </c>
      <c r="S5" s="2">
        <f>1.9</f>
        <v>1.9</v>
      </c>
    </row>
    <row r="6" spans="1:19" ht="11.25" customHeight="1">
      <c r="A6" t="s">
        <v>29</v>
      </c>
    </row>
    <row r="7" spans="1:19" ht="11.25" customHeight="1">
      <c r="A7" t="s">
        <v>30</v>
      </c>
    </row>
    <row r="8" spans="1:19" ht="11.25" customHeight="1">
      <c r="A8" t="s">
        <v>31</v>
      </c>
      <c r="K8" s="8"/>
    </row>
    <row r="9" spans="1:19" ht="11.25" customHeight="1">
      <c r="K9" s="8"/>
      <c r="Q9" s="8"/>
      <c r="R9" s="8"/>
    </row>
    <row r="10" spans="1:19" ht="11.25" customHeight="1">
      <c r="A10" t="s">
        <v>34</v>
      </c>
      <c r="Q10" s="8"/>
      <c r="R10" s="8"/>
    </row>
    <row r="11" spans="1:19" ht="11.25" customHeight="1">
      <c r="A11" t="s">
        <v>32</v>
      </c>
      <c r="Q11" s="8"/>
      <c r="R11" s="8"/>
    </row>
    <row r="12" spans="1:19" ht="11.25" customHeight="1">
      <c r="A12" t="s">
        <v>33</v>
      </c>
    </row>
    <row r="14" spans="1:19" ht="11.25" customHeight="1">
      <c r="M14" s="8"/>
    </row>
    <row r="15" spans="1:19" ht="11.25" customHeight="1">
      <c r="M15" s="8"/>
    </row>
    <row r="16" spans="1:19" ht="11.25" customHeight="1">
      <c r="A16" s="2" t="s">
        <v>0</v>
      </c>
      <c r="B16" s="2" t="s">
        <v>3</v>
      </c>
      <c r="C16" s="2" t="s">
        <v>4</v>
      </c>
      <c r="D16" s="2" t="s">
        <v>5</v>
      </c>
      <c r="E16" s="2" t="s">
        <v>6</v>
      </c>
      <c r="F16" s="2" t="s">
        <v>7</v>
      </c>
      <c r="G16" s="2" t="s">
        <v>8</v>
      </c>
      <c r="H16" s="2" t="s">
        <v>1</v>
      </c>
      <c r="I16" s="2" t="s">
        <v>2</v>
      </c>
      <c r="M16" s="8"/>
    </row>
    <row r="17" spans="1:37" ht="11.25" customHeight="1">
      <c r="A17" s="2" t="s">
        <v>3</v>
      </c>
      <c r="B17" s="2">
        <f>1</f>
        <v>1</v>
      </c>
      <c r="C17" s="2">
        <f>1</f>
        <v>1</v>
      </c>
      <c r="D17" s="2">
        <f>1</f>
        <v>1</v>
      </c>
      <c r="E17" s="2">
        <f>5</f>
        <v>5</v>
      </c>
      <c r="F17" s="2">
        <f>5</f>
        <v>5</v>
      </c>
      <c r="G17" s="2">
        <f>1</f>
        <v>1</v>
      </c>
      <c r="H17" s="2">
        <f>GEOMEAN(B17:G17)</f>
        <v>1.7099759466766968</v>
      </c>
      <c r="I17" s="2">
        <f t="shared" ref="I17:I22" si="0">H17/$H$23</f>
        <v>0.22727272727272729</v>
      </c>
    </row>
    <row r="18" spans="1:37" ht="11.25" customHeight="1">
      <c r="A18" s="2" t="s">
        <v>4</v>
      </c>
      <c r="B18" s="2">
        <f>1</f>
        <v>1</v>
      </c>
      <c r="C18" s="2">
        <f>1</f>
        <v>1</v>
      </c>
      <c r="D18" s="2">
        <f>1</f>
        <v>1</v>
      </c>
      <c r="E18" s="2">
        <f>5</f>
        <v>5</v>
      </c>
      <c r="F18" s="2">
        <f>5</f>
        <v>5</v>
      </c>
      <c r="G18" s="2">
        <f>1</f>
        <v>1</v>
      </c>
      <c r="H18" s="2">
        <f t="shared" ref="H18:H22" si="1">GEOMEAN(B18:G18)</f>
        <v>1.7099759466766968</v>
      </c>
      <c r="I18" s="2">
        <f t="shared" si="0"/>
        <v>0.22727272727272729</v>
      </c>
    </row>
    <row r="19" spans="1:37" ht="11.25" customHeight="1">
      <c r="A19" s="2" t="s">
        <v>5</v>
      </c>
      <c r="B19" s="2">
        <f>1</f>
        <v>1</v>
      </c>
      <c r="C19" s="2">
        <f>1</f>
        <v>1</v>
      </c>
      <c r="D19" s="2">
        <f>1</f>
        <v>1</v>
      </c>
      <c r="E19" s="2">
        <f>5</f>
        <v>5</v>
      </c>
      <c r="F19" s="2">
        <f>5</f>
        <v>5</v>
      </c>
      <c r="G19" s="2">
        <f>1</f>
        <v>1</v>
      </c>
      <c r="H19" s="2">
        <f t="shared" si="1"/>
        <v>1.7099759466766968</v>
      </c>
      <c r="I19" s="2">
        <f t="shared" si="0"/>
        <v>0.22727272727272729</v>
      </c>
    </row>
    <row r="20" spans="1:37" ht="11.25" customHeight="1">
      <c r="A20" s="2" t="s">
        <v>6</v>
      </c>
      <c r="B20" s="2">
        <f t="shared" ref="B20:D21" si="2">1/5</f>
        <v>0.2</v>
      </c>
      <c r="C20" s="2">
        <f t="shared" si="2"/>
        <v>0.2</v>
      </c>
      <c r="D20" s="2">
        <f t="shared" si="2"/>
        <v>0.2</v>
      </c>
      <c r="E20" s="2">
        <f>1</f>
        <v>1</v>
      </c>
      <c r="F20" s="2">
        <f>1</f>
        <v>1</v>
      </c>
      <c r="G20" s="2">
        <f>1/5</f>
        <v>0.2</v>
      </c>
      <c r="H20" s="2">
        <f t="shared" si="1"/>
        <v>0.3419951893353394</v>
      </c>
      <c r="I20" s="2">
        <f t="shared" si="0"/>
        <v>4.5454545454545463E-2</v>
      </c>
    </row>
    <row r="21" spans="1:37" ht="11.25" customHeight="1">
      <c r="A21" s="2" t="s">
        <v>7</v>
      </c>
      <c r="B21" s="2">
        <f t="shared" si="2"/>
        <v>0.2</v>
      </c>
      <c r="C21" s="2">
        <f t="shared" si="2"/>
        <v>0.2</v>
      </c>
      <c r="D21" s="2">
        <f t="shared" si="2"/>
        <v>0.2</v>
      </c>
      <c r="E21" s="2">
        <f>1</f>
        <v>1</v>
      </c>
      <c r="F21" s="2">
        <f>1</f>
        <v>1</v>
      </c>
      <c r="G21" s="2">
        <f>1/5</f>
        <v>0.2</v>
      </c>
      <c r="H21" s="2">
        <f t="shared" si="1"/>
        <v>0.3419951893353394</v>
      </c>
      <c r="I21" s="2">
        <f t="shared" si="0"/>
        <v>4.5454545454545463E-2</v>
      </c>
      <c r="L21" s="9"/>
    </row>
    <row r="22" spans="1:37" ht="11.25" customHeight="1">
      <c r="A22" s="2" t="s">
        <v>8</v>
      </c>
      <c r="B22" s="2">
        <f>1</f>
        <v>1</v>
      </c>
      <c r="C22" s="2">
        <f>1</f>
        <v>1</v>
      </c>
      <c r="D22" s="2">
        <f>1</f>
        <v>1</v>
      </c>
      <c r="E22" s="2">
        <f>5</f>
        <v>5</v>
      </c>
      <c r="F22" s="2">
        <f>5</f>
        <v>5</v>
      </c>
      <c r="G22" s="2">
        <f>1</f>
        <v>1</v>
      </c>
      <c r="H22" s="2">
        <f t="shared" si="1"/>
        <v>1.7099759466766968</v>
      </c>
      <c r="I22" s="2">
        <f t="shared" si="0"/>
        <v>0.22727272727272729</v>
      </c>
    </row>
    <row r="23" spans="1:37" ht="11.25" customHeight="1">
      <c r="A23" s="1"/>
      <c r="B23" s="1"/>
      <c r="C23" s="10"/>
      <c r="D23" s="10"/>
      <c r="E23" s="1"/>
      <c r="F23" s="1"/>
      <c r="G23" s="1"/>
      <c r="H23" s="2">
        <f>SUM(H17:H22)</f>
        <v>7.5238941653774658</v>
      </c>
      <c r="I23" s="1"/>
      <c r="J23" s="8"/>
    </row>
    <row r="24" spans="1:37" ht="11.25" customHeight="1">
      <c r="E24" s="8"/>
    </row>
    <row r="25" spans="1:37" ht="11.25" customHeight="1">
      <c r="E25" s="8"/>
    </row>
    <row r="26" spans="1:37" ht="11.25" customHeight="1">
      <c r="B26" s="3" t="s">
        <v>35</v>
      </c>
      <c r="C26" s="3" t="s">
        <v>19</v>
      </c>
      <c r="F26" s="3" t="s">
        <v>36</v>
      </c>
      <c r="G26" s="3" t="s">
        <v>21</v>
      </c>
      <c r="J26" s="3" t="s">
        <v>37</v>
      </c>
      <c r="K26" s="3" t="s">
        <v>22</v>
      </c>
      <c r="L26" s="8"/>
      <c r="N26" s="3" t="s">
        <v>38</v>
      </c>
      <c r="O26" s="3" t="s">
        <v>23</v>
      </c>
      <c r="R26" s="3" t="s">
        <v>39</v>
      </c>
      <c r="S26" s="3" t="s">
        <v>41</v>
      </c>
      <c r="V26" s="3" t="s">
        <v>40</v>
      </c>
      <c r="W26" s="3" t="s">
        <v>42</v>
      </c>
      <c r="AG26" s="8"/>
      <c r="AK26" s="8"/>
    </row>
    <row r="27" spans="1:37" ht="11.25" customHeight="1">
      <c r="A27" s="3" t="s">
        <v>9</v>
      </c>
      <c r="B27" s="3">
        <f>1/N3</f>
        <v>0.41666666666666669</v>
      </c>
      <c r="C27" s="3">
        <f>B27/$B$30</f>
        <v>0.27211457455770854</v>
      </c>
      <c r="E27" s="3" t="s">
        <v>9</v>
      </c>
      <c r="F27" s="3">
        <f>1/O3</f>
        <v>1.4285714285714286</v>
      </c>
      <c r="G27" s="3">
        <f>F27/$F$30</f>
        <v>0.28037383177570097</v>
      </c>
      <c r="I27" s="3" t="s">
        <v>9</v>
      </c>
      <c r="J27" s="3">
        <f>1/P3</f>
        <v>1.1111111111111112</v>
      </c>
      <c r="K27" s="3">
        <f>J27/$J$30</f>
        <v>0.34482758620689657</v>
      </c>
      <c r="M27" s="3" t="s">
        <v>9</v>
      </c>
      <c r="N27" s="3">
        <f>Q3</f>
        <v>30</v>
      </c>
      <c r="O27" s="3">
        <f>N27/$N$30</f>
        <v>0.3</v>
      </c>
      <c r="Q27" s="3" t="s">
        <v>9</v>
      </c>
      <c r="R27" s="3">
        <f>R3</f>
        <v>1500</v>
      </c>
      <c r="S27" s="3">
        <f>R27/$R$30</f>
        <v>0.28301886792452829</v>
      </c>
      <c r="U27" s="3" t="s">
        <v>9</v>
      </c>
      <c r="V27" s="3">
        <f>S3</f>
        <v>2.7</v>
      </c>
      <c r="W27" s="3">
        <f>V27/$V$30</f>
        <v>0.39130434782608697</v>
      </c>
    </row>
    <row r="28" spans="1:37" ht="11.25" customHeight="1">
      <c r="A28" s="3" t="s">
        <v>10</v>
      </c>
      <c r="B28" s="3">
        <f t="shared" ref="B28:B29" si="3">1/N4</f>
        <v>0.52631578947368418</v>
      </c>
      <c r="C28" s="3">
        <f t="shared" ref="C28:C29" si="4">B28/$B$30</f>
        <v>0.34372367312552654</v>
      </c>
      <c r="E28" s="3" t="s">
        <v>10</v>
      </c>
      <c r="F28" s="3">
        <f t="shared" ref="F28:F29" si="5">1/O4</f>
        <v>1.6666666666666667</v>
      </c>
      <c r="G28" s="3">
        <f t="shared" ref="G28:G29" si="6">F28/$F$30</f>
        <v>0.32710280373831779</v>
      </c>
      <c r="I28" s="3" t="s">
        <v>10</v>
      </c>
      <c r="J28" s="3">
        <f t="shared" ref="J28:J29" si="7">1/P4</f>
        <v>1</v>
      </c>
      <c r="K28" s="3">
        <f t="shared" ref="K28:K29" si="8">J28/$J$30</f>
        <v>0.31034482758620691</v>
      </c>
      <c r="M28" s="3" t="s">
        <v>10</v>
      </c>
      <c r="N28" s="3">
        <f t="shared" ref="N28:N29" si="9">Q4</f>
        <v>45</v>
      </c>
      <c r="O28" s="3">
        <f t="shared" ref="O28:O29" si="10">N28/$N$30</f>
        <v>0.45</v>
      </c>
      <c r="Q28" s="3" t="s">
        <v>10</v>
      </c>
      <c r="R28" s="3">
        <f t="shared" ref="R28:R29" si="11">R4</f>
        <v>1900</v>
      </c>
      <c r="S28" s="3">
        <f t="shared" ref="S28:S29" si="12">R28/$R$30</f>
        <v>0.35849056603773582</v>
      </c>
      <c r="U28" s="3" t="s">
        <v>10</v>
      </c>
      <c r="V28" s="3">
        <f t="shared" ref="V28:V29" si="13">S4</f>
        <v>2.2999999999999998</v>
      </c>
      <c r="W28" s="3">
        <f t="shared" ref="W28:W29" si="14">V28/$V$30</f>
        <v>0.33333333333333331</v>
      </c>
    </row>
    <row r="29" spans="1:37" ht="11.25" customHeight="1">
      <c r="A29" s="3" t="s">
        <v>11</v>
      </c>
      <c r="B29" s="3">
        <f t="shared" si="3"/>
        <v>0.58823529411764708</v>
      </c>
      <c r="C29" s="3">
        <f t="shared" si="4"/>
        <v>0.38416175231676503</v>
      </c>
      <c r="E29" s="3" t="s">
        <v>11</v>
      </c>
      <c r="F29" s="3">
        <f t="shared" si="5"/>
        <v>2</v>
      </c>
      <c r="G29" s="3">
        <f t="shared" si="6"/>
        <v>0.39252336448598135</v>
      </c>
      <c r="I29" s="3" t="s">
        <v>11</v>
      </c>
      <c r="J29" s="3">
        <f t="shared" si="7"/>
        <v>1.1111111111111112</v>
      </c>
      <c r="K29" s="3">
        <f t="shared" si="8"/>
        <v>0.34482758620689657</v>
      </c>
      <c r="M29" s="3" t="s">
        <v>11</v>
      </c>
      <c r="N29" s="3">
        <f t="shared" si="9"/>
        <v>25</v>
      </c>
      <c r="O29" s="3">
        <f t="shared" si="10"/>
        <v>0.25</v>
      </c>
      <c r="Q29" s="3" t="s">
        <v>11</v>
      </c>
      <c r="R29" s="3">
        <f t="shared" si="11"/>
        <v>1900</v>
      </c>
      <c r="S29" s="3">
        <f t="shared" si="12"/>
        <v>0.35849056603773582</v>
      </c>
      <c r="U29" s="3" t="s">
        <v>11</v>
      </c>
      <c r="V29" s="3">
        <f t="shared" si="13"/>
        <v>1.9</v>
      </c>
      <c r="W29" s="3">
        <f t="shared" si="14"/>
        <v>0.27536231884057966</v>
      </c>
    </row>
    <row r="30" spans="1:37" ht="11.25" customHeight="1">
      <c r="B30" s="3">
        <f>SUM(B27:B29)</f>
        <v>1.5312177502579978</v>
      </c>
      <c r="F30" s="3">
        <f>SUM(F27:F29)</f>
        <v>5.0952380952380949</v>
      </c>
      <c r="J30" s="3">
        <f>SUM(J27:J29)</f>
        <v>3.2222222222222223</v>
      </c>
      <c r="N30" s="3">
        <f>SUM(N27:N29)</f>
        <v>100</v>
      </c>
      <c r="R30" s="3">
        <f>SUM(R27:R29)</f>
        <v>5300</v>
      </c>
      <c r="V30" s="3">
        <f>SUM(V27:V29)</f>
        <v>6.9</v>
      </c>
    </row>
    <row r="31" spans="1:37" ht="11.25" customHeight="1">
      <c r="D31" s="8"/>
    </row>
    <row r="32" spans="1:37" ht="11.25" customHeight="1">
      <c r="D32" s="8"/>
    </row>
    <row r="33" spans="1:8" ht="11.25" customHeight="1">
      <c r="B33" s="3" t="s">
        <v>3</v>
      </c>
      <c r="C33" s="3" t="s">
        <v>4</v>
      </c>
      <c r="D33" s="11" t="s">
        <v>5</v>
      </c>
      <c r="E33" s="3" t="s">
        <v>6</v>
      </c>
      <c r="F33" s="3" t="s">
        <v>7</v>
      </c>
      <c r="G33" s="3" t="s">
        <v>8</v>
      </c>
      <c r="H33" s="3" t="s">
        <v>24</v>
      </c>
    </row>
    <row r="34" spans="1:8" ht="11.25" customHeight="1">
      <c r="A34" s="3" t="s">
        <v>9</v>
      </c>
      <c r="B34" s="3">
        <f>C27</f>
        <v>0.27211457455770854</v>
      </c>
      <c r="C34" s="3">
        <f>G27</f>
        <v>0.28037383177570097</v>
      </c>
      <c r="D34" s="3">
        <f>K27</f>
        <v>0.34482758620689657</v>
      </c>
      <c r="E34" s="3">
        <f>O27</f>
        <v>0.3</v>
      </c>
      <c r="F34" s="3">
        <f>S27</f>
        <v>0.28301886792452829</v>
      </c>
      <c r="G34" s="3">
        <f>W27</f>
        <v>0.39130434782608697</v>
      </c>
      <c r="H34" s="3">
        <f>SUMPRODUCT(B34:G34,$B$39:$G$39)</f>
        <v>0.31936911680711338</v>
      </c>
    </row>
    <row r="35" spans="1:8" ht="11.25" customHeight="1">
      <c r="A35" s="3" t="s">
        <v>10</v>
      </c>
      <c r="B35" s="3">
        <f t="shared" ref="B35:B36" si="15">C28</f>
        <v>0.34372367312552654</v>
      </c>
      <c r="C35" s="3">
        <f t="shared" ref="C35:C36" si="16">G28</f>
        <v>0.32710280373831779</v>
      </c>
      <c r="D35" s="3">
        <f t="shared" ref="D35:D36" si="17">K28</f>
        <v>0.31034482758620691</v>
      </c>
      <c r="E35" s="3">
        <f t="shared" ref="E35:E36" si="18">O28</f>
        <v>0.45</v>
      </c>
      <c r="F35" s="3">
        <f t="shared" ref="F35:F36" si="19">S28</f>
        <v>0.35849056603773582</v>
      </c>
      <c r="G35" s="3">
        <f t="shared" ref="G35:G36" si="20">W28</f>
        <v>0.33333333333333331</v>
      </c>
      <c r="H35" s="3">
        <f t="shared" ref="H35:H36" si="21">SUMPRODUCT(B35:G35,$B$39:$G$39)</f>
        <v>0.33550062522521173</v>
      </c>
    </row>
    <row r="36" spans="1:8" ht="11.25" customHeight="1">
      <c r="A36" s="3" t="s">
        <v>11</v>
      </c>
      <c r="B36" s="3">
        <f t="shared" si="15"/>
        <v>0.38416175231676503</v>
      </c>
      <c r="C36" s="3">
        <f t="shared" si="16"/>
        <v>0.39252336448598135</v>
      </c>
      <c r="D36" s="3">
        <f t="shared" si="17"/>
        <v>0.34482758620689657</v>
      </c>
      <c r="E36" s="3">
        <f t="shared" si="18"/>
        <v>0.25</v>
      </c>
      <c r="F36" s="3">
        <f t="shared" si="19"/>
        <v>0.35849056603773582</v>
      </c>
      <c r="G36" s="3">
        <f t="shared" si="20"/>
        <v>0.27536231884057966</v>
      </c>
      <c r="H36" s="3">
        <f t="shared" si="21"/>
        <v>0.34513025796767499</v>
      </c>
    </row>
    <row r="39" spans="1:8" ht="11.25" customHeight="1">
      <c r="B39" s="3">
        <f>I17</f>
        <v>0.22727272727272729</v>
      </c>
      <c r="C39" s="3">
        <f>I18</f>
        <v>0.22727272727272729</v>
      </c>
      <c r="D39" s="3">
        <f>I19</f>
        <v>0.22727272727272729</v>
      </c>
      <c r="E39" s="3">
        <f>I20</f>
        <v>4.5454545454545463E-2</v>
      </c>
      <c r="F39" s="3">
        <f>I21</f>
        <v>4.5454545454545463E-2</v>
      </c>
      <c r="G39" s="3">
        <f>I22</f>
        <v>0.22727272727272729</v>
      </c>
    </row>
  </sheetData>
  <pageMargins left="0" right="0" top="0.39370078740157483" bottom="0.39370078740157483" header="0" footer="0"/>
  <headerFooter>
    <oddHeader>&amp;C&amp;A</oddHeader>
    <oddFooter>&amp;CСтраница &amp;P</oddFooter>
  </headerFooter>
  <ignoredErrors>
    <ignoredError sqref="P4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6E639-307D-4DB3-BA12-56F8283EC518}">
  <dimension ref="B2:S30"/>
  <sheetViews>
    <sheetView tabSelected="1" topLeftCell="A7" workbookViewId="0">
      <selection activeCell="L22" sqref="L22"/>
    </sheetView>
  </sheetViews>
  <sheetFormatPr defaultRowHeight="12.75"/>
  <cols>
    <col min="1" max="16384" width="9.140625" style="1"/>
  </cols>
  <sheetData>
    <row r="2" spans="2:19">
      <c r="B2" s="2" t="s">
        <v>0</v>
      </c>
      <c r="C2" s="2" t="s">
        <v>3</v>
      </c>
      <c r="D2" s="2" t="s">
        <v>4</v>
      </c>
      <c r="E2" s="2" t="s">
        <v>5</v>
      </c>
      <c r="F2" s="2" t="s">
        <v>1</v>
      </c>
      <c r="G2" s="2" t="s">
        <v>2</v>
      </c>
    </row>
    <row r="3" spans="2:19">
      <c r="B3" s="2" t="s">
        <v>3</v>
      </c>
      <c r="C3" s="2">
        <f>1</f>
        <v>1</v>
      </c>
      <c r="D3" s="2">
        <f>7</f>
        <v>7</v>
      </c>
      <c r="E3" s="2">
        <f>1/5</f>
        <v>0.2</v>
      </c>
      <c r="F3" s="2">
        <f>GEOMEAN(C3:E3)</f>
        <v>1.1186889420813968</v>
      </c>
      <c r="G3" s="2">
        <f>F3/$F$6</f>
        <v>0.23990595592621572</v>
      </c>
    </row>
    <row r="4" spans="2:19">
      <c r="B4" s="2" t="s">
        <v>4</v>
      </c>
      <c r="C4" s="2">
        <f>1/7</f>
        <v>0.14285714285714285</v>
      </c>
      <c r="D4" s="2">
        <f>1</f>
        <v>1</v>
      </c>
      <c r="E4" s="2">
        <f>1/7</f>
        <v>0.14285714285714285</v>
      </c>
      <c r="F4" s="2">
        <f t="shared" ref="F4:F5" si="0">GEOMEAN(C4:E4)</f>
        <v>0.2732758832531984</v>
      </c>
      <c r="G4" s="2">
        <f>F4/$F$6</f>
        <v>5.8604773442615513E-2</v>
      </c>
    </row>
    <row r="5" spans="2:19">
      <c r="B5" s="2" t="s">
        <v>5</v>
      </c>
      <c r="C5" s="2">
        <f>5</f>
        <v>5</v>
      </c>
      <c r="D5" s="2">
        <f>7</f>
        <v>7</v>
      </c>
      <c r="E5" s="2">
        <f>1</f>
        <v>1</v>
      </c>
      <c r="F5" s="2">
        <f t="shared" si="0"/>
        <v>3.2710663101885897</v>
      </c>
      <c r="G5" s="2">
        <f>F5/$F$6</f>
        <v>0.70148927063116884</v>
      </c>
    </row>
    <row r="6" spans="2:19">
      <c r="F6" s="2">
        <f>SUM(F3:F5)</f>
        <v>4.6630311355231848</v>
      </c>
    </row>
    <row r="9" spans="2:19">
      <c r="B9" s="2" t="s">
        <v>3</v>
      </c>
      <c r="C9" s="2" t="s">
        <v>9</v>
      </c>
      <c r="D9" s="2" t="s">
        <v>43</v>
      </c>
      <c r="E9" s="2" t="s">
        <v>1</v>
      </c>
      <c r="F9" s="2" t="s">
        <v>19</v>
      </c>
      <c r="H9" s="2" t="s">
        <v>4</v>
      </c>
      <c r="I9" s="2" t="s">
        <v>9</v>
      </c>
      <c r="J9" s="2" t="s">
        <v>11</v>
      </c>
      <c r="K9" s="2" t="s">
        <v>1</v>
      </c>
      <c r="L9" s="2" t="s">
        <v>21</v>
      </c>
      <c r="N9" s="2" t="s">
        <v>5</v>
      </c>
      <c r="O9" s="2" t="s">
        <v>10</v>
      </c>
      <c r="P9" s="2" t="s">
        <v>11</v>
      </c>
      <c r="Q9" s="2" t="s">
        <v>44</v>
      </c>
      <c r="R9" s="2" t="s">
        <v>1</v>
      </c>
      <c r="S9" s="2" t="s">
        <v>22</v>
      </c>
    </row>
    <row r="10" spans="2:19">
      <c r="B10" s="2" t="s">
        <v>9</v>
      </c>
      <c r="C10" s="2">
        <v>1</v>
      </c>
      <c r="D10" s="2">
        <v>1</v>
      </c>
      <c r="E10" s="2">
        <f>GEOMEAN(C10:D10)</f>
        <v>1</v>
      </c>
      <c r="F10" s="2">
        <f>E10/$E$12</f>
        <v>0.5</v>
      </c>
      <c r="H10" s="2" t="s">
        <v>9</v>
      </c>
      <c r="I10" s="2">
        <v>1</v>
      </c>
      <c r="J10" s="2">
        <v>1</v>
      </c>
      <c r="K10" s="2">
        <f>GEOMEAN(I10:J10)</f>
        <v>1</v>
      </c>
      <c r="L10" s="2">
        <f>K10/$K$12</f>
        <v>0.5</v>
      </c>
      <c r="N10" s="2" t="s">
        <v>10</v>
      </c>
      <c r="O10" s="2">
        <v>1</v>
      </c>
      <c r="P10" s="2">
        <v>5</v>
      </c>
      <c r="Q10" s="2">
        <v>7</v>
      </c>
      <c r="R10" s="2">
        <f>GEOMEAN(O10:Q10)</f>
        <v>3.2710663101885897</v>
      </c>
      <c r="S10" s="2">
        <f>R10/$R$13</f>
        <v>0.73064467136112954</v>
      </c>
    </row>
    <row r="11" spans="2:19">
      <c r="B11" s="2" t="s">
        <v>43</v>
      </c>
      <c r="C11" s="2">
        <v>1</v>
      </c>
      <c r="D11" s="2">
        <v>1</v>
      </c>
      <c r="E11" s="2">
        <f>GEOMEAN(C11:D11)</f>
        <v>1</v>
      </c>
      <c r="F11" s="2">
        <f>E11/$E$12</f>
        <v>0.5</v>
      </c>
      <c r="H11" s="2" t="s">
        <v>11</v>
      </c>
      <c r="I11" s="2">
        <v>1</v>
      </c>
      <c r="J11" s="2">
        <v>1</v>
      </c>
      <c r="K11" s="2">
        <f>GEOMEAN(I11:J11)</f>
        <v>1</v>
      </c>
      <c r="L11" s="2">
        <f>K11/$K$12</f>
        <v>0.5</v>
      </c>
      <c r="N11" s="2" t="s">
        <v>11</v>
      </c>
      <c r="O11" s="2">
        <f>1/5</f>
        <v>0.2</v>
      </c>
      <c r="P11" s="2">
        <v>1</v>
      </c>
      <c r="Q11" s="2">
        <v>3</v>
      </c>
      <c r="R11" s="2">
        <f t="shared" ref="R11:R12" si="1">GEOMEAN(O11:Q11)</f>
        <v>0.84343266530174932</v>
      </c>
      <c r="S11" s="2">
        <f t="shared" ref="S11:S12" si="2">R11/$R$13</f>
        <v>0.1883940966391198</v>
      </c>
    </row>
    <row r="12" spans="2:19">
      <c r="E12" s="2">
        <f>SUM(E10:E11)</f>
        <v>2</v>
      </c>
      <c r="K12" s="2">
        <f>SUM(K10:K11)</f>
        <v>2</v>
      </c>
      <c r="N12" s="2" t="s">
        <v>44</v>
      </c>
      <c r="O12" s="2">
        <f>1/7</f>
        <v>0.14285714285714285</v>
      </c>
      <c r="P12" s="2">
        <f>1/3</f>
        <v>0.33333333333333331</v>
      </c>
      <c r="Q12" s="2">
        <v>1</v>
      </c>
      <c r="R12" s="2">
        <f t="shared" si="1"/>
        <v>0.36246012433429736</v>
      </c>
      <c r="S12" s="2">
        <f t="shared" si="2"/>
        <v>8.096123199975068E-2</v>
      </c>
    </row>
    <row r="13" spans="2:19">
      <c r="R13" s="2">
        <f>SUM(R10:R12)</f>
        <v>4.4769590998246365</v>
      </c>
    </row>
    <row r="15" spans="2:19">
      <c r="D15" s="2" t="s">
        <v>3</v>
      </c>
      <c r="E15" s="2" t="s">
        <v>4</v>
      </c>
      <c r="F15" s="2" t="s">
        <v>5</v>
      </c>
    </row>
    <row r="16" spans="2:19">
      <c r="B16" s="13" t="s">
        <v>45</v>
      </c>
      <c r="C16" s="12" t="s">
        <v>3</v>
      </c>
      <c r="D16" s="2">
        <f>2/7</f>
        <v>0.2857142857142857</v>
      </c>
      <c r="E16" s="2">
        <v>0</v>
      </c>
      <c r="F16" s="2">
        <v>0</v>
      </c>
      <c r="G16" s="1" t="s">
        <v>47</v>
      </c>
      <c r="H16" s="2">
        <f>SUMPRODUCT(D16:F16,$D$20:$F$20)</f>
        <v>6.8544558836061628E-2</v>
      </c>
    </row>
    <row r="17" spans="2:8">
      <c r="C17" s="2" t="s">
        <v>4</v>
      </c>
      <c r="D17" s="2">
        <v>0</v>
      </c>
      <c r="E17" s="2">
        <f>2/7</f>
        <v>0.2857142857142857</v>
      </c>
      <c r="F17" s="2">
        <v>0</v>
      </c>
      <c r="H17" s="2">
        <f t="shared" ref="H17:H18" si="3">SUMPRODUCT(D17:F17,$D$20:$F$20)</f>
        <v>1.6744220983604431E-2</v>
      </c>
    </row>
    <row r="18" spans="2:8">
      <c r="C18" s="2" t="s">
        <v>5</v>
      </c>
      <c r="D18" s="2">
        <v>0</v>
      </c>
      <c r="E18" s="2">
        <v>0</v>
      </c>
      <c r="F18" s="2">
        <f>3/7</f>
        <v>0.42857142857142855</v>
      </c>
      <c r="H18" s="2">
        <f t="shared" si="3"/>
        <v>0.30063825884192946</v>
      </c>
    </row>
    <row r="20" spans="2:8">
      <c r="D20" s="2">
        <f>G3</f>
        <v>0.23990595592621572</v>
      </c>
      <c r="E20" s="2">
        <f>G4</f>
        <v>5.8604773442615513E-2</v>
      </c>
      <c r="F20" s="2">
        <f>G5</f>
        <v>0.70148927063116884</v>
      </c>
    </row>
    <row r="23" spans="2:8">
      <c r="D23" s="2" t="s">
        <v>3</v>
      </c>
      <c r="E23" s="2" t="s">
        <v>4</v>
      </c>
      <c r="F23" s="2" t="s">
        <v>5</v>
      </c>
      <c r="H23" s="2" t="s">
        <v>24</v>
      </c>
    </row>
    <row r="24" spans="2:8">
      <c r="B24" s="13" t="s">
        <v>46</v>
      </c>
      <c r="C24" s="12" t="s">
        <v>9</v>
      </c>
      <c r="D24" s="2">
        <f>F10</f>
        <v>0.5</v>
      </c>
      <c r="E24" s="2">
        <f>L10</f>
        <v>0.5</v>
      </c>
      <c r="F24" s="2">
        <v>0</v>
      </c>
      <c r="H24" s="2">
        <f>SUMPRODUCT(D24:F24,$D$30:$F$30)</f>
        <v>4.2644389909833033E-2</v>
      </c>
    </row>
    <row r="25" spans="2:8">
      <c r="C25" s="2" t="s">
        <v>10</v>
      </c>
      <c r="D25" s="2">
        <v>0</v>
      </c>
      <c r="E25" s="2">
        <v>0</v>
      </c>
      <c r="F25" s="2">
        <f>S10</f>
        <v>0.73064467136112954</v>
      </c>
      <c r="H25" s="2">
        <f t="shared" ref="H25:H28" si="4">SUMPRODUCT(D25:F25,$D$30:$F$30)</f>
        <v>0.21965974183014375</v>
      </c>
    </row>
    <row r="26" spans="2:8">
      <c r="C26" s="2" t="s">
        <v>11</v>
      </c>
      <c r="D26" s="2">
        <v>0</v>
      </c>
      <c r="E26" s="2">
        <f>L11</f>
        <v>0.5</v>
      </c>
      <c r="F26" s="2">
        <f>S11</f>
        <v>0.1883940966391198</v>
      </c>
      <c r="H26" s="2">
        <f t="shared" si="4"/>
        <v>6.5010583681485393E-2</v>
      </c>
    </row>
    <row r="27" spans="2:8">
      <c r="C27" s="2" t="s">
        <v>43</v>
      </c>
      <c r="D27" s="2">
        <f>F11</f>
        <v>0.5</v>
      </c>
      <c r="E27" s="2">
        <v>0</v>
      </c>
      <c r="F27" s="2">
        <v>0</v>
      </c>
      <c r="H27" s="2">
        <f t="shared" si="4"/>
        <v>3.4272279418030814E-2</v>
      </c>
    </row>
    <row r="28" spans="2:8">
      <c r="C28" s="2" t="s">
        <v>44</v>
      </c>
      <c r="D28" s="2">
        <v>0</v>
      </c>
      <c r="E28" s="2">
        <v>0</v>
      </c>
      <c r="F28" s="2">
        <f>S12</f>
        <v>8.096123199975068E-2</v>
      </c>
      <c r="H28" s="2">
        <f t="shared" si="4"/>
        <v>2.4340043822102548E-2</v>
      </c>
    </row>
    <row r="30" spans="2:8">
      <c r="D30" s="2">
        <f>H16</f>
        <v>6.8544558836061628E-2</v>
      </c>
      <c r="E30" s="2">
        <f>H17</f>
        <v>1.6744220983604431E-2</v>
      </c>
      <c r="F30" s="2">
        <f>H18</f>
        <v>0.30063825884192946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Задача 1</vt:lpstr>
      <vt:lpstr>Задача 2</vt:lpstr>
      <vt:lpstr>Задача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Власов</dc:creator>
  <cp:lastModifiedBy>Дмитрий Власов</cp:lastModifiedBy>
  <cp:revision>1</cp:revision>
  <dcterms:created xsi:type="dcterms:W3CDTF">2025-03-03T13:26:30Z</dcterms:created>
  <dcterms:modified xsi:type="dcterms:W3CDTF">2025-03-13T07:19:44Z</dcterms:modified>
</cp:coreProperties>
</file>