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x1k\Документы\GitHub\PGATU\ТССА\"/>
    </mc:Choice>
  </mc:AlternateContent>
  <xr:revisionPtr revIDLastSave="0" documentId="13_ncr:1_{9E3C0A92-98A6-49F9-A941-94395ABC2A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Задание 1" sheetId="2" r:id="rId1"/>
    <sheet name="Задание 2" sheetId="1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" i="3" l="1"/>
  <c r="K42" i="3"/>
  <c r="J42" i="3"/>
  <c r="I42" i="3"/>
  <c r="E42" i="3"/>
  <c r="D42" i="3"/>
  <c r="C42" i="3"/>
  <c r="L41" i="3"/>
  <c r="J41" i="3"/>
  <c r="I41" i="3"/>
  <c r="F41" i="3"/>
  <c r="D41" i="3"/>
  <c r="C41" i="3"/>
  <c r="L40" i="3"/>
  <c r="K40" i="3"/>
  <c r="I40" i="3"/>
  <c r="F40" i="3"/>
  <c r="E40" i="3"/>
  <c r="C40" i="3"/>
  <c r="L39" i="3"/>
  <c r="K39" i="3"/>
  <c r="J39" i="3"/>
  <c r="J43" i="3" s="1"/>
  <c r="J44" i="3" s="1"/>
  <c r="Q17" i="3" s="1"/>
  <c r="U21" i="3" s="1"/>
  <c r="F39" i="3"/>
  <c r="E39" i="3"/>
  <c r="D39" i="3"/>
  <c r="K27" i="3"/>
  <c r="J27" i="3"/>
  <c r="I27" i="3"/>
  <c r="E27" i="3"/>
  <c r="D27" i="3"/>
  <c r="C27" i="3"/>
  <c r="L26" i="3"/>
  <c r="J26" i="3"/>
  <c r="I26" i="3"/>
  <c r="I28" i="3" s="1"/>
  <c r="I29" i="3" s="1"/>
  <c r="P15" i="3" s="1"/>
  <c r="S20" i="3" s="1"/>
  <c r="F26" i="3"/>
  <c r="D26" i="3"/>
  <c r="C26" i="3"/>
  <c r="L25" i="3"/>
  <c r="K25" i="3"/>
  <c r="I25" i="3"/>
  <c r="F25" i="3"/>
  <c r="E25" i="3"/>
  <c r="C25" i="3"/>
  <c r="L24" i="3"/>
  <c r="L28" i="3" s="1"/>
  <c r="L29" i="3" s="1"/>
  <c r="S15" i="3" s="1"/>
  <c r="S23" i="3" s="1"/>
  <c r="K24" i="3"/>
  <c r="K28" i="3" s="1"/>
  <c r="K29" i="3" s="1"/>
  <c r="R15" i="3" s="1"/>
  <c r="S22" i="3" s="1"/>
  <c r="J24" i="3"/>
  <c r="J28" i="3" s="1"/>
  <c r="J29" i="3" s="1"/>
  <c r="Q15" i="3" s="1"/>
  <c r="S21" i="3" s="1"/>
  <c r="F24" i="3"/>
  <c r="E24" i="3"/>
  <c r="D24" i="3"/>
  <c r="K12" i="3"/>
  <c r="J12" i="3"/>
  <c r="I12" i="3"/>
  <c r="E12" i="3"/>
  <c r="D12" i="3"/>
  <c r="C12" i="3"/>
  <c r="L11" i="3"/>
  <c r="J11" i="3"/>
  <c r="I11" i="3"/>
  <c r="F11" i="3"/>
  <c r="D11" i="3"/>
  <c r="C11" i="3"/>
  <c r="L10" i="3"/>
  <c r="K10" i="3"/>
  <c r="I10" i="3"/>
  <c r="F10" i="3"/>
  <c r="E10" i="3"/>
  <c r="C10" i="3"/>
  <c r="C13" i="3" s="1"/>
  <c r="C14" i="3" s="1"/>
  <c r="P12" i="3" s="1"/>
  <c r="P20" i="3" s="1"/>
  <c r="L9" i="3"/>
  <c r="L13" i="3" s="1"/>
  <c r="L14" i="3" s="1"/>
  <c r="S13" i="3" s="1"/>
  <c r="Q23" i="3" s="1"/>
  <c r="K9" i="3"/>
  <c r="K13" i="3" s="1"/>
  <c r="K14" i="3" s="1"/>
  <c r="R13" i="3" s="1"/>
  <c r="Q22" i="3" s="1"/>
  <c r="J9" i="3"/>
  <c r="F9" i="3"/>
  <c r="E9" i="3"/>
  <c r="D9" i="3"/>
  <c r="C43" i="3" l="1"/>
  <c r="C44" i="3" s="1"/>
  <c r="P16" i="3" s="1"/>
  <c r="T20" i="3" s="1"/>
  <c r="L43" i="3"/>
  <c r="L44" i="3" s="1"/>
  <c r="S17" i="3" s="1"/>
  <c r="U23" i="3" s="1"/>
  <c r="F28" i="3"/>
  <c r="F29" i="3" s="1"/>
  <c r="S14" i="3" s="1"/>
  <c r="R23" i="3" s="1"/>
  <c r="K43" i="3"/>
  <c r="K44" i="3" s="1"/>
  <c r="R17" i="3" s="1"/>
  <c r="U22" i="3" s="1"/>
  <c r="F43" i="3"/>
  <c r="F44" i="3" s="1"/>
  <c r="S16" i="3" s="1"/>
  <c r="T23" i="3" s="1"/>
  <c r="J13" i="3"/>
  <c r="J14" i="3" s="1"/>
  <c r="Q13" i="3" s="1"/>
  <c r="Q21" i="3" s="1"/>
  <c r="I43" i="3"/>
  <c r="I44" i="3" s="1"/>
  <c r="P17" i="3" s="1"/>
  <c r="U20" i="3" s="1"/>
  <c r="D13" i="3"/>
  <c r="D14" i="3" s="1"/>
  <c r="Q12" i="3" s="1"/>
  <c r="P21" i="3" s="1"/>
  <c r="F13" i="3"/>
  <c r="F14" i="3" s="1"/>
  <c r="S12" i="3" s="1"/>
  <c r="P23" i="3" s="1"/>
  <c r="W29" i="3" s="1"/>
  <c r="E28" i="3"/>
  <c r="E29" i="3" s="1"/>
  <c r="R14" i="3" s="1"/>
  <c r="R22" i="3" s="1"/>
  <c r="D43" i="3"/>
  <c r="D44" i="3" s="1"/>
  <c r="Q16" i="3" s="1"/>
  <c r="T21" i="3" s="1"/>
  <c r="I13" i="3"/>
  <c r="I14" i="3" s="1"/>
  <c r="P13" i="3" s="1"/>
  <c r="Q20" i="3" s="1"/>
  <c r="AB26" i="3" s="1"/>
  <c r="E13" i="3"/>
  <c r="E14" i="3" s="1"/>
  <c r="R12" i="3" s="1"/>
  <c r="P22" i="3" s="1"/>
  <c r="E43" i="3"/>
  <c r="E44" i="3" s="1"/>
  <c r="R16" i="3" s="1"/>
  <c r="T22" i="3" s="1"/>
  <c r="C28" i="3"/>
  <c r="C29" i="3" s="1"/>
  <c r="P14" i="3" s="1"/>
  <c r="R20" i="3" s="1"/>
  <c r="D28" i="3"/>
  <c r="D29" i="3" s="1"/>
  <c r="Q14" i="3" s="1"/>
  <c r="R21" i="3" s="1"/>
  <c r="AB28" i="3" l="1"/>
  <c r="AB29" i="3"/>
  <c r="X29" i="3"/>
  <c r="Z29" i="3"/>
  <c r="AA29" i="3"/>
  <c r="Y29" i="3"/>
  <c r="X27" i="3"/>
  <c r="AA28" i="3"/>
  <c r="AB27" i="3"/>
  <c r="Z27" i="3"/>
  <c r="AA27" i="3"/>
  <c r="X26" i="3"/>
  <c r="Y27" i="3"/>
  <c r="W26" i="3"/>
  <c r="W28" i="3"/>
  <c r="W27" i="3"/>
  <c r="Y28" i="3"/>
  <c r="AA26" i="3"/>
  <c r="Z28" i="3"/>
  <c r="Y26" i="3"/>
  <c r="Z26" i="3"/>
  <c r="X28" i="3"/>
  <c r="AI29" i="3" l="1"/>
  <c r="U42" i="3" s="1"/>
  <c r="AH29" i="3"/>
  <c r="AH27" i="3"/>
  <c r="AG26" i="3"/>
  <c r="AI28" i="3"/>
  <c r="AG29" i="3"/>
  <c r="AH26" i="3"/>
  <c r="AF29" i="3"/>
  <c r="AF26" i="3"/>
  <c r="R42" i="3" s="1"/>
  <c r="AF28" i="3"/>
  <c r="T34" i="3" s="1"/>
  <c r="AI27" i="3"/>
  <c r="AH28" i="3"/>
  <c r="T42" i="3" s="1"/>
  <c r="AF27" i="3"/>
  <c r="AG28" i="3"/>
  <c r="S36" i="3" s="1"/>
  <c r="AG27" i="3"/>
  <c r="S42" i="3" s="1"/>
  <c r="AI26" i="3"/>
  <c r="U35" i="3" l="1"/>
  <c r="T37" i="3"/>
  <c r="U36" i="3"/>
  <c r="R35" i="3"/>
  <c r="U34" i="3"/>
  <c r="T35" i="3"/>
  <c r="T38" i="3" s="1"/>
  <c r="T41" i="3" s="1"/>
  <c r="T43" i="3" s="1"/>
  <c r="S37" i="3"/>
  <c r="R36" i="3"/>
  <c r="R37" i="3"/>
  <c r="U38" i="3"/>
  <c r="U41" i="3" s="1"/>
  <c r="U43" i="3" s="1"/>
  <c r="S38" i="3" l="1"/>
  <c r="S41" i="3" s="1"/>
  <c r="S43" i="3" s="1"/>
  <c r="R38" i="3"/>
  <c r="R41" i="3" s="1"/>
  <c r="R43" i="3" s="1"/>
  <c r="Q9" i="1" l="1"/>
  <c r="Y2" i="1"/>
  <c r="C13" i="2"/>
  <c r="D13" i="2"/>
  <c r="E13" i="2"/>
  <c r="B13" i="2"/>
  <c r="E12" i="2"/>
  <c r="C12" i="2"/>
  <c r="D12" i="2"/>
  <c r="B12" i="2"/>
  <c r="D9" i="2"/>
  <c r="C10" i="2"/>
  <c r="E11" i="2"/>
  <c r="D10" i="2"/>
  <c r="C9" i="2"/>
  <c r="B10" i="2"/>
  <c r="B9" i="2"/>
  <c r="B8" i="2"/>
  <c r="C8" i="2"/>
  <c r="D8" i="2"/>
  <c r="B11" i="2"/>
  <c r="C11" i="2"/>
  <c r="D11" i="2"/>
  <c r="E10" i="2"/>
  <c r="E9" i="2"/>
  <c r="E8" i="2"/>
  <c r="Z2" i="1"/>
  <c r="AA2" i="1"/>
  <c r="W3" i="1"/>
  <c r="W4" i="1"/>
  <c r="V12" i="1" s="1"/>
  <c r="W5" i="1"/>
  <c r="V5" i="1"/>
  <c r="V3" i="1"/>
  <c r="V4" i="1"/>
  <c r="U3" i="1"/>
  <c r="U4" i="1"/>
  <c r="U5" i="1"/>
  <c r="W10" i="1" s="1"/>
  <c r="U2" i="1"/>
  <c r="U9" i="1" s="1"/>
  <c r="V2" i="1"/>
  <c r="W2" i="1"/>
  <c r="T12" i="1" s="1"/>
  <c r="T3" i="1"/>
  <c r="T4" i="1"/>
  <c r="T5" i="1"/>
  <c r="T2" i="1"/>
  <c r="U12" i="1"/>
  <c r="V11" i="1"/>
  <c r="W12" i="1"/>
  <c r="W11" i="1"/>
  <c r="U10" i="1"/>
  <c r="T11" i="1"/>
  <c r="T10" i="1"/>
  <c r="T9" i="1"/>
  <c r="V9" i="1"/>
  <c r="P12" i="1"/>
  <c r="Q10" i="1"/>
  <c r="Q11" i="1"/>
  <c r="O10" i="1"/>
  <c r="N9" i="1"/>
  <c r="Q3" i="1"/>
  <c r="Q4" i="1"/>
  <c r="Q5" i="1"/>
  <c r="Q12" i="1" s="1"/>
  <c r="P3" i="1"/>
  <c r="P4" i="1"/>
  <c r="P11" i="1" s="1"/>
  <c r="P5" i="1"/>
  <c r="O3" i="1"/>
  <c r="O4" i="1"/>
  <c r="O11" i="1" s="1"/>
  <c r="O5" i="1"/>
  <c r="O12" i="1" s="1"/>
  <c r="N3" i="1"/>
  <c r="N10" i="1" s="1"/>
  <c r="N4" i="1"/>
  <c r="N11" i="1" s="1"/>
  <c r="N5" i="1"/>
  <c r="N12" i="1" s="1"/>
  <c r="O2" i="1"/>
  <c r="P2" i="1"/>
  <c r="Q2" i="1"/>
  <c r="N2" i="1"/>
  <c r="U11" i="1" l="1"/>
  <c r="V10" i="1"/>
  <c r="W9" i="1"/>
  <c r="T13" i="1"/>
  <c r="T14" i="1" s="1"/>
  <c r="U13" i="1"/>
  <c r="U14" i="1" s="1"/>
  <c r="V13" i="1"/>
  <c r="V14" i="1" s="1"/>
  <c r="W13" i="1"/>
  <c r="W14" i="1" s="1"/>
  <c r="N13" i="1"/>
  <c r="N14" i="1" s="1"/>
  <c r="P9" i="1"/>
  <c r="O9" i="1"/>
  <c r="O13" i="1" s="1"/>
  <c r="O14" i="1" s="1"/>
  <c r="Q13" i="1"/>
  <c r="Q14" i="1" s="1"/>
  <c r="AB2" i="1" s="1"/>
  <c r="P10" i="1"/>
  <c r="P13" i="1" l="1"/>
  <c r="P14" i="1" s="1"/>
</calcChain>
</file>

<file path=xl/sharedStrings.xml><?xml version="1.0" encoding="utf-8"?>
<sst xmlns="http://schemas.openxmlformats.org/spreadsheetml/2006/main" count="303" uniqueCount="59">
  <si>
    <t>R1</t>
  </si>
  <si>
    <t>a1</t>
  </si>
  <si>
    <t>a2</t>
  </si>
  <si>
    <t>a3</t>
  </si>
  <si>
    <t>a4</t>
  </si>
  <si>
    <t>R2</t>
  </si>
  <si>
    <t>R3</t>
  </si>
  <si>
    <t>R4</t>
  </si>
  <si>
    <t>R5</t>
  </si>
  <si>
    <t>R6</t>
  </si>
  <si>
    <t>P</t>
  </si>
  <si>
    <r>
      <rPr>
        <sz val="11"/>
        <color theme="1"/>
        <rFont val="Calibri"/>
        <family val="2"/>
        <charset val="204"/>
        <scheme val="minor"/>
      </rPr>
      <t>P</t>
    </r>
    <r>
      <rPr>
        <vertAlign val="superscript"/>
        <sz val="11"/>
        <color theme="1"/>
        <rFont val="Calibri"/>
        <family val="2"/>
        <charset val="204"/>
        <scheme val="minor"/>
      </rPr>
      <t>s</t>
    </r>
  </si>
  <si>
    <t>max</t>
  </si>
  <si>
    <t>1-max</t>
  </si>
  <si>
    <t>Up nd=</t>
  </si>
  <si>
    <t>{0,9/a1; 0,6/a2; 1/a3; 0,9/a4}</t>
  </si>
  <si>
    <t>Q</t>
  </si>
  <si>
    <r>
      <t>Q</t>
    </r>
    <r>
      <rPr>
        <vertAlign val="superscript"/>
        <sz val="11"/>
        <color theme="1"/>
        <rFont val="Calibri"/>
        <family val="2"/>
        <charset val="204"/>
        <scheme val="minor"/>
      </rPr>
      <t>s</t>
    </r>
  </si>
  <si>
    <t>UQ nd=</t>
  </si>
  <si>
    <t>λ1</t>
  </si>
  <si>
    <t>λ2</t>
  </si>
  <si>
    <t>λ3</t>
  </si>
  <si>
    <t>λ4</t>
  </si>
  <si>
    <t>λ5</t>
  </si>
  <si>
    <t>λ6</t>
  </si>
  <si>
    <t>{0,62/a1; 0,69/a2; 0,78/a3; 0,62/a4}</t>
  </si>
  <si>
    <t>x1</t>
  </si>
  <si>
    <t>x2</t>
  </si>
  <si>
    <t>x3</t>
  </si>
  <si>
    <t>x4</t>
  </si>
  <si>
    <r>
      <t>R2</t>
    </r>
    <r>
      <rPr>
        <vertAlign val="superscript"/>
        <sz val="11"/>
        <color theme="1"/>
        <rFont val="Calibri"/>
        <family val="2"/>
        <charset val="204"/>
        <scheme val="minor"/>
      </rPr>
      <t>s</t>
    </r>
  </si>
  <si>
    <t>Лучшая альтернатива x4</t>
  </si>
  <si>
    <t>Лучшая альтернатива а3</t>
  </si>
  <si>
    <t>{0/x1; 0,7/x2; 0,2/x3; 0,8/x4}</t>
  </si>
  <si>
    <t>UR nd</t>
  </si>
  <si>
    <t>[0,62, 0,6, 0,78, 0,62]</t>
  </si>
  <si>
    <t>э1</t>
  </si>
  <si>
    <t>э2</t>
  </si>
  <si>
    <t>э5</t>
  </si>
  <si>
    <t>э3</t>
  </si>
  <si>
    <t>э4</t>
  </si>
  <si>
    <t>э6</t>
  </si>
  <si>
    <t>Ф</t>
  </si>
  <si>
    <t>а1</t>
  </si>
  <si>
    <t>а2</t>
  </si>
  <si>
    <t>а3</t>
  </si>
  <si>
    <t>а4</t>
  </si>
  <si>
    <r>
      <t>Ф</t>
    </r>
    <r>
      <rPr>
        <vertAlign val="superscript"/>
        <sz val="11"/>
        <color theme="1"/>
        <rFont val="Calibri"/>
        <family val="2"/>
        <charset val="204"/>
        <scheme val="minor"/>
      </rPr>
      <t>Т</t>
    </r>
  </si>
  <si>
    <t>Г</t>
  </si>
  <si>
    <t>=</t>
  </si>
  <si>
    <t>*</t>
  </si>
  <si>
    <t>N</t>
  </si>
  <si>
    <r>
      <t>Г</t>
    </r>
    <r>
      <rPr>
        <vertAlign val="superscript"/>
        <sz val="11"/>
        <color theme="1"/>
        <rFont val="Calibri"/>
        <family val="2"/>
        <charset val="204"/>
        <scheme val="minor"/>
      </rPr>
      <t>S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</si>
  <si>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г</t>
    </r>
    <r>
      <rPr>
        <vertAlign val="superscript"/>
        <sz val="11"/>
        <color theme="1"/>
        <rFont val="Calibri"/>
        <family val="2"/>
        <charset val="204"/>
        <scheme val="minor"/>
      </rPr>
      <t>nd</t>
    </r>
  </si>
  <si>
    <t>N4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</si>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</sst>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12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D256-8B01-4EA7-908C-101452647E48}">
  <dimension ref="A1:E17"/>
  <sheetViews>
    <sheetView workbookViewId="0">
      <selection activeCell="D12" sqref="D12"/>
    </sheetView>
  </sheetViews>
  <sheetFormatPr defaultRowHeight="15" x14ac:dyDescent="0.25"/>
  <cols>
    <col min="1" max="16384" width="9.140625" style="2"/>
  </cols>
  <sheetData>
    <row r="1" spans="1:5" x14ac:dyDescent="0.25">
      <c r="A1" s="13" t="s">
        <v>5</v>
      </c>
      <c r="B1" s="13" t="s">
        <v>26</v>
      </c>
      <c r="C1" s="13" t="s">
        <v>27</v>
      </c>
      <c r="D1" s="13" t="s">
        <v>28</v>
      </c>
      <c r="E1" s="13" t="s">
        <v>29</v>
      </c>
    </row>
    <row r="2" spans="1:5" x14ac:dyDescent="0.25">
      <c r="A2" s="13" t="s">
        <v>26</v>
      </c>
      <c r="B2" s="7">
        <v>1</v>
      </c>
      <c r="C2" s="7">
        <v>0</v>
      </c>
      <c r="D2" s="7">
        <v>1</v>
      </c>
      <c r="E2" s="8">
        <v>0.2</v>
      </c>
    </row>
    <row r="3" spans="1:5" x14ac:dyDescent="0.25">
      <c r="A3" s="13" t="s">
        <v>27</v>
      </c>
      <c r="B3" s="7">
        <v>1</v>
      </c>
      <c r="C3" s="7">
        <v>1</v>
      </c>
      <c r="D3" s="7">
        <v>0.3</v>
      </c>
      <c r="E3" s="8">
        <v>0.5</v>
      </c>
    </row>
    <row r="4" spans="1:5" x14ac:dyDescent="0.25">
      <c r="A4" s="13" t="s">
        <v>28</v>
      </c>
      <c r="B4" s="7">
        <v>0.2</v>
      </c>
      <c r="C4" s="7">
        <v>0.6</v>
      </c>
      <c r="D4" s="7">
        <v>1</v>
      </c>
      <c r="E4" s="8">
        <v>1</v>
      </c>
    </row>
    <row r="5" spans="1:5" x14ac:dyDescent="0.25">
      <c r="A5" s="13" t="s">
        <v>29</v>
      </c>
      <c r="B5" s="10">
        <v>0.1</v>
      </c>
      <c r="C5" s="10">
        <v>0.4</v>
      </c>
      <c r="D5" s="10">
        <v>0.8</v>
      </c>
      <c r="E5" s="11">
        <v>1</v>
      </c>
    </row>
    <row r="7" spans="1:5" ht="17.25" x14ac:dyDescent="0.25">
      <c r="A7" s="13" t="s">
        <v>30</v>
      </c>
      <c r="B7" s="13" t="s">
        <v>26</v>
      </c>
      <c r="C7" s="13" t="s">
        <v>27</v>
      </c>
      <c r="D7" s="13" t="s">
        <v>28</v>
      </c>
      <c r="E7" s="13" t="s">
        <v>29</v>
      </c>
    </row>
    <row r="8" spans="1:5" x14ac:dyDescent="0.25">
      <c r="A8" s="13" t="s">
        <v>26</v>
      </c>
      <c r="B8" s="7">
        <f>MAX(B2-B2,0)</f>
        <v>0</v>
      </c>
      <c r="C8" s="7">
        <f>MAX(C2-B3,0)</f>
        <v>0</v>
      </c>
      <c r="D8" s="7">
        <f>MAX(D2-B4,0)</f>
        <v>0.8</v>
      </c>
      <c r="E8" s="8">
        <f>MAX(E2-B5,0)</f>
        <v>0.1</v>
      </c>
    </row>
    <row r="9" spans="1:5" x14ac:dyDescent="0.25">
      <c r="A9" s="13" t="s">
        <v>27</v>
      </c>
      <c r="B9" s="7">
        <f>MAX(B3-C2,0)</f>
        <v>1</v>
      </c>
      <c r="C9" s="7">
        <f>MAX(C3-C3,0)</f>
        <v>0</v>
      </c>
      <c r="D9" s="7">
        <f>MAX(D3-C4,0)</f>
        <v>0</v>
      </c>
      <c r="E9" s="8">
        <f>MAX(E3-C5,0)</f>
        <v>9.9999999999999978E-2</v>
      </c>
    </row>
    <row r="10" spans="1:5" x14ac:dyDescent="0.25">
      <c r="A10" s="13" t="s">
        <v>28</v>
      </c>
      <c r="B10" s="7">
        <f>MAX(B4-D2,0)</f>
        <v>0</v>
      </c>
      <c r="C10" s="7">
        <f>MAX(C4-D3,0)</f>
        <v>0.3</v>
      </c>
      <c r="D10" s="7">
        <f>MAX(D4-D4,0)</f>
        <v>0</v>
      </c>
      <c r="E10" s="8">
        <f>MAX(E4-D5,0)</f>
        <v>0.19999999999999996</v>
      </c>
    </row>
    <row r="11" spans="1:5" x14ac:dyDescent="0.25">
      <c r="A11" s="13" t="s">
        <v>29</v>
      </c>
      <c r="B11" s="10">
        <f>MAX(B5-E2,0)</f>
        <v>0</v>
      </c>
      <c r="C11" s="10">
        <f>MAX(C5-E3,0)</f>
        <v>0</v>
      </c>
      <c r="D11" s="10">
        <f>MAX(D5-E4,0)</f>
        <v>0</v>
      </c>
      <c r="E11" s="11">
        <f>MAX(E5-E5,0)</f>
        <v>0</v>
      </c>
    </row>
    <row r="12" spans="1:5" x14ac:dyDescent="0.25">
      <c r="A12" s="2" t="s">
        <v>12</v>
      </c>
      <c r="B12" s="3">
        <f>MAX(B8:B11)</f>
        <v>1</v>
      </c>
      <c r="C12" s="4">
        <f t="shared" ref="C12:D12" si="0">MAX(C8:C11)</f>
        <v>0.3</v>
      </c>
      <c r="D12" s="4">
        <f t="shared" si="0"/>
        <v>0.8</v>
      </c>
      <c r="E12" s="5">
        <f>MAX(E8:E11)</f>
        <v>0.19999999999999996</v>
      </c>
    </row>
    <row r="13" spans="1:5" x14ac:dyDescent="0.25">
      <c r="A13" s="2" t="s">
        <v>13</v>
      </c>
      <c r="B13" s="9">
        <f>1-B12</f>
        <v>0</v>
      </c>
      <c r="C13" s="10">
        <f t="shared" ref="C13:E13" si="1">1-C12</f>
        <v>0.7</v>
      </c>
      <c r="D13" s="10">
        <f t="shared" si="1"/>
        <v>0.19999999999999996</v>
      </c>
      <c r="E13" s="33">
        <f t="shared" si="1"/>
        <v>0.8</v>
      </c>
    </row>
    <row r="15" spans="1:5" x14ac:dyDescent="0.25">
      <c r="A15" s="2" t="s">
        <v>14</v>
      </c>
      <c r="B15" s="15" t="s">
        <v>33</v>
      </c>
      <c r="C15" s="15"/>
      <c r="D15" s="15"/>
      <c r="E15" s="15"/>
    </row>
    <row r="17" spans="4:4" x14ac:dyDescent="0.25">
      <c r="D17" s="2" t="s">
        <v>31</v>
      </c>
    </row>
  </sheetData>
  <mergeCells count="1"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workbookViewId="0">
      <selection activeCell="AA2" sqref="AA2"/>
    </sheetView>
  </sheetViews>
  <sheetFormatPr defaultColWidth="10.7109375" defaultRowHeight="15" x14ac:dyDescent="0.25"/>
  <cols>
    <col min="1" max="1" width="3.140625" style="2" bestFit="1" customWidth="1"/>
    <col min="2" max="5" width="4" style="2" bestFit="1" customWidth="1"/>
    <col min="6" max="6" width="3" style="2" bestFit="1" customWidth="1"/>
    <col min="7" max="7" width="3.140625" style="2" bestFit="1" customWidth="1"/>
    <col min="8" max="11" width="4" style="2" bestFit="1" customWidth="1"/>
    <col min="12" max="12" width="10.7109375" style="2"/>
    <col min="13" max="13" width="7.140625" style="2" bestFit="1" customWidth="1"/>
    <col min="14" max="17" width="6.7109375" style="2" customWidth="1"/>
    <col min="18" max="19" width="10.7109375" style="2"/>
    <col min="20" max="23" width="8.140625" style="16" customWidth="1"/>
    <col min="24" max="24" width="10.7109375" style="2"/>
    <col min="25" max="25" width="13.42578125" style="2" customWidth="1"/>
    <col min="26" max="16384" width="10.7109375" style="2"/>
  </cols>
  <sheetData>
    <row r="1" spans="1:28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G1" s="13" t="s">
        <v>5</v>
      </c>
      <c r="H1" s="13" t="s">
        <v>1</v>
      </c>
      <c r="I1" s="13" t="s">
        <v>2</v>
      </c>
      <c r="J1" s="13" t="s">
        <v>3</v>
      </c>
      <c r="K1" s="13" t="s">
        <v>4</v>
      </c>
      <c r="M1" s="13" t="s">
        <v>10</v>
      </c>
      <c r="N1" s="13" t="s">
        <v>1</v>
      </c>
      <c r="O1" s="13" t="s">
        <v>2</v>
      </c>
      <c r="P1" s="13" t="s">
        <v>3</v>
      </c>
      <c r="Q1" s="13" t="s">
        <v>4</v>
      </c>
      <c r="S1" s="13" t="s">
        <v>16</v>
      </c>
      <c r="T1" s="29" t="s">
        <v>1</v>
      </c>
      <c r="U1" s="29" t="s">
        <v>2</v>
      </c>
      <c r="V1" s="29" t="s">
        <v>3</v>
      </c>
      <c r="W1" s="29" t="s">
        <v>4</v>
      </c>
    </row>
    <row r="2" spans="1:28" x14ac:dyDescent="0.25">
      <c r="A2" s="13" t="s">
        <v>1</v>
      </c>
      <c r="B2" s="7">
        <v>1</v>
      </c>
      <c r="C2" s="7">
        <v>0.2</v>
      </c>
      <c r="D2" s="7">
        <v>0.7</v>
      </c>
      <c r="E2" s="8">
        <v>0.2</v>
      </c>
      <c r="G2" s="13" t="s">
        <v>1</v>
      </c>
      <c r="H2" s="7">
        <v>1</v>
      </c>
      <c r="I2" s="7">
        <v>0.4</v>
      </c>
      <c r="J2" s="7">
        <v>0.2</v>
      </c>
      <c r="K2" s="8">
        <v>0.2</v>
      </c>
      <c r="M2" s="13" t="s">
        <v>1</v>
      </c>
      <c r="N2" s="7">
        <f>MIN(B2,H2,B9,H9,B16,H16)</f>
        <v>1</v>
      </c>
      <c r="O2" s="7">
        <f t="shared" ref="O2:Q5" si="0">MIN(C2,I2,C9,I9,C16,I16)</f>
        <v>0</v>
      </c>
      <c r="P2" s="7">
        <f t="shared" si="0"/>
        <v>0.2</v>
      </c>
      <c r="Q2" s="8">
        <f t="shared" si="0"/>
        <v>0.2</v>
      </c>
      <c r="S2" s="28" t="s">
        <v>1</v>
      </c>
      <c r="T2" s="18">
        <f>$B$22*B2+$B$23*H2+$B$24*B9+$B$25*H9+$B$26*B16+$B$27*H16</f>
        <v>0.99999999999999989</v>
      </c>
      <c r="U2" s="19">
        <f t="shared" ref="U2:W5" si="1">$B$22*C2+$B$23*I2+$B$24*C9+$B$25*I9+$B$26*C16+$B$27*I16</f>
        <v>0.35000000000000003</v>
      </c>
      <c r="V2" s="19">
        <f t="shared" si="1"/>
        <v>0.56999999999999995</v>
      </c>
      <c r="W2" s="20">
        <f t="shared" si="1"/>
        <v>0.35000000000000003</v>
      </c>
      <c r="Y2" s="31">
        <f>MIN(N14,T14)</f>
        <v>0.62000000000000011</v>
      </c>
      <c r="Z2" s="31">
        <f>MIN(O14,U14)</f>
        <v>0.6</v>
      </c>
      <c r="AA2" s="32">
        <f>MIN(P14,V14)</f>
        <v>0.78</v>
      </c>
      <c r="AB2" s="31">
        <f>MIN(Q14,W14)</f>
        <v>0.62000000000000011</v>
      </c>
    </row>
    <row r="3" spans="1:28" x14ac:dyDescent="0.25">
      <c r="A3" s="13" t="s">
        <v>2</v>
      </c>
      <c r="B3" s="7">
        <v>0.8</v>
      </c>
      <c r="C3" s="7">
        <v>1</v>
      </c>
      <c r="D3" s="7">
        <v>0.3</v>
      </c>
      <c r="E3" s="8">
        <v>0.9</v>
      </c>
      <c r="G3" s="13" t="s">
        <v>2</v>
      </c>
      <c r="H3" s="7">
        <v>0.8</v>
      </c>
      <c r="I3" s="7">
        <v>1</v>
      </c>
      <c r="J3" s="7">
        <v>0.3</v>
      </c>
      <c r="K3" s="8">
        <v>0</v>
      </c>
      <c r="M3" s="13" t="s">
        <v>2</v>
      </c>
      <c r="N3" s="7">
        <f t="shared" ref="N3:N5" si="2">MIN(B3,H3,B10,H10,B17,H17)</f>
        <v>0.1</v>
      </c>
      <c r="O3" s="7">
        <f t="shared" si="0"/>
        <v>1</v>
      </c>
      <c r="P3" s="7">
        <f t="shared" si="0"/>
        <v>0.2</v>
      </c>
      <c r="Q3" s="8">
        <f t="shared" si="0"/>
        <v>0</v>
      </c>
      <c r="S3" s="28" t="s">
        <v>2</v>
      </c>
      <c r="T3" s="21">
        <f t="shared" ref="T3:T5" si="3">$B$22*B3+$B$23*H3+$B$24*B10+$B$25*H10+$B$26*B17+$B$27*H17</f>
        <v>0.73</v>
      </c>
      <c r="U3" s="22">
        <f t="shared" si="1"/>
        <v>0.99999999999999989</v>
      </c>
      <c r="V3" s="22">
        <f t="shared" si="1"/>
        <v>0.34000000000000008</v>
      </c>
      <c r="W3" s="23">
        <f t="shared" si="1"/>
        <v>0.57000000000000006</v>
      </c>
    </row>
    <row r="4" spans="1:28" x14ac:dyDescent="0.25">
      <c r="A4" s="13" t="s">
        <v>3</v>
      </c>
      <c r="B4" s="7">
        <v>0.6</v>
      </c>
      <c r="C4" s="7">
        <v>0.6</v>
      </c>
      <c r="D4" s="7">
        <v>1</v>
      </c>
      <c r="E4" s="8">
        <v>0.1</v>
      </c>
      <c r="G4" s="13" t="s">
        <v>3</v>
      </c>
      <c r="H4" s="7">
        <v>0.2</v>
      </c>
      <c r="I4" s="7">
        <v>0.7</v>
      </c>
      <c r="J4" s="7">
        <v>1</v>
      </c>
      <c r="K4" s="8">
        <v>0.7</v>
      </c>
      <c r="M4" s="13" t="s">
        <v>3</v>
      </c>
      <c r="N4" s="7">
        <f t="shared" si="2"/>
        <v>0.2</v>
      </c>
      <c r="O4" s="7">
        <f t="shared" si="0"/>
        <v>0.5</v>
      </c>
      <c r="P4" s="7">
        <f t="shared" si="0"/>
        <v>1</v>
      </c>
      <c r="Q4" s="8">
        <f t="shared" si="0"/>
        <v>0.1</v>
      </c>
      <c r="S4" s="28" t="s">
        <v>3</v>
      </c>
      <c r="T4" s="21">
        <f t="shared" si="3"/>
        <v>0.35000000000000003</v>
      </c>
      <c r="U4" s="22">
        <f t="shared" si="1"/>
        <v>0.65</v>
      </c>
      <c r="V4" s="22">
        <f t="shared" si="1"/>
        <v>0.99999999999999989</v>
      </c>
      <c r="W4" s="23">
        <f t="shared" si="1"/>
        <v>0.56999999999999984</v>
      </c>
    </row>
    <row r="5" spans="1:28" x14ac:dyDescent="0.25">
      <c r="A5" s="13" t="s">
        <v>4</v>
      </c>
      <c r="B5" s="10">
        <v>0.5</v>
      </c>
      <c r="C5" s="10">
        <v>0.7</v>
      </c>
      <c r="D5" s="10">
        <v>0</v>
      </c>
      <c r="E5" s="11">
        <v>1</v>
      </c>
      <c r="G5" s="13" t="s">
        <v>4</v>
      </c>
      <c r="H5" s="10">
        <v>0.8</v>
      </c>
      <c r="I5" s="10">
        <v>0.9</v>
      </c>
      <c r="J5" s="10">
        <v>0</v>
      </c>
      <c r="K5" s="11">
        <v>1</v>
      </c>
      <c r="M5" s="13" t="s">
        <v>4</v>
      </c>
      <c r="N5" s="10">
        <f t="shared" si="2"/>
        <v>0.2</v>
      </c>
      <c r="O5" s="10">
        <f t="shared" si="0"/>
        <v>0.4</v>
      </c>
      <c r="P5" s="10">
        <f t="shared" si="0"/>
        <v>0</v>
      </c>
      <c r="Q5" s="11">
        <f t="shared" si="0"/>
        <v>1</v>
      </c>
      <c r="S5" s="28" t="s">
        <v>4</v>
      </c>
      <c r="T5" s="24">
        <f t="shared" si="3"/>
        <v>0.62000000000000011</v>
      </c>
      <c r="U5" s="25">
        <f t="shared" si="1"/>
        <v>0.69000000000000006</v>
      </c>
      <c r="V5" s="25">
        <f t="shared" si="1"/>
        <v>0.19</v>
      </c>
      <c r="W5" s="26">
        <f t="shared" si="1"/>
        <v>0.99999999999999989</v>
      </c>
      <c r="Y5" s="34" t="s">
        <v>34</v>
      </c>
      <c r="Z5" s="15" t="s">
        <v>35</v>
      </c>
      <c r="AA5" s="15"/>
      <c r="AB5" s="15"/>
    </row>
    <row r="7" spans="1:28" x14ac:dyDescent="0.25">
      <c r="Z7" s="2" t="s">
        <v>32</v>
      </c>
    </row>
    <row r="8" spans="1:28" ht="17.25" x14ac:dyDescent="0.25">
      <c r="A8" s="13" t="s">
        <v>6</v>
      </c>
      <c r="B8" s="13" t="s">
        <v>1</v>
      </c>
      <c r="C8" s="13" t="s">
        <v>2</v>
      </c>
      <c r="D8" s="13" t="s">
        <v>3</v>
      </c>
      <c r="E8" s="13" t="s">
        <v>4</v>
      </c>
      <c r="G8" s="13" t="s">
        <v>7</v>
      </c>
      <c r="H8" s="13" t="s">
        <v>1</v>
      </c>
      <c r="I8" s="13" t="s">
        <v>2</v>
      </c>
      <c r="J8" s="13" t="s">
        <v>3</v>
      </c>
      <c r="K8" s="13" t="s">
        <v>4</v>
      </c>
      <c r="M8" s="14" t="s">
        <v>11</v>
      </c>
      <c r="N8" s="13" t="s">
        <v>1</v>
      </c>
      <c r="O8" s="13" t="s">
        <v>2</v>
      </c>
      <c r="P8" s="13" t="s">
        <v>3</v>
      </c>
      <c r="Q8" s="13" t="s">
        <v>4</v>
      </c>
      <c r="S8" s="13" t="s">
        <v>17</v>
      </c>
      <c r="T8" s="17" t="s">
        <v>1</v>
      </c>
      <c r="U8" s="17" t="s">
        <v>2</v>
      </c>
      <c r="V8" s="17" t="s">
        <v>3</v>
      </c>
      <c r="W8" s="17" t="s">
        <v>4</v>
      </c>
    </row>
    <row r="9" spans="1:28" x14ac:dyDescent="0.25">
      <c r="A9" s="13" t="s">
        <v>1</v>
      </c>
      <c r="B9" s="7">
        <v>1</v>
      </c>
      <c r="C9" s="7">
        <v>0</v>
      </c>
      <c r="D9" s="7">
        <v>0.5</v>
      </c>
      <c r="E9" s="8">
        <v>0.6</v>
      </c>
      <c r="G9" s="13" t="s">
        <v>1</v>
      </c>
      <c r="H9" s="7">
        <v>1</v>
      </c>
      <c r="I9" s="7">
        <v>0.6</v>
      </c>
      <c r="J9" s="7">
        <v>0.5</v>
      </c>
      <c r="K9" s="8">
        <v>0.8</v>
      </c>
      <c r="M9" s="13" t="s">
        <v>1</v>
      </c>
      <c r="N9" s="7">
        <f>MAX(N2 - N2, 0)</f>
        <v>0</v>
      </c>
      <c r="O9" s="7">
        <f>MAX(O2 - N3, 0)</f>
        <v>0</v>
      </c>
      <c r="P9" s="12">
        <f>MAX(P2 - N4, 0)</f>
        <v>0</v>
      </c>
      <c r="Q9" s="8">
        <f>MAX(Q2 - N5, 0)</f>
        <v>0</v>
      </c>
      <c r="S9" s="13" t="s">
        <v>1</v>
      </c>
      <c r="T9" s="18">
        <f>MAX(T2-T2,0)</f>
        <v>0</v>
      </c>
      <c r="U9" s="19">
        <f>MAX(U2-T3,0)</f>
        <v>0</v>
      </c>
      <c r="V9" s="19">
        <f>MAX(V2-T4,0)</f>
        <v>0.21999999999999992</v>
      </c>
      <c r="W9" s="20">
        <f>MAX(W2-T5,0)</f>
        <v>0</v>
      </c>
    </row>
    <row r="10" spans="1:28" x14ac:dyDescent="0.25">
      <c r="A10" s="13" t="s">
        <v>2</v>
      </c>
      <c r="B10" s="7">
        <v>0.4</v>
      </c>
      <c r="C10" s="7">
        <v>1</v>
      </c>
      <c r="D10" s="7">
        <v>0.2</v>
      </c>
      <c r="E10" s="8">
        <v>0.4</v>
      </c>
      <c r="G10" s="13" t="s">
        <v>2</v>
      </c>
      <c r="H10" s="7">
        <v>0.1</v>
      </c>
      <c r="I10" s="7">
        <v>1</v>
      </c>
      <c r="J10" s="7">
        <v>0.3</v>
      </c>
      <c r="K10" s="8">
        <v>0.7</v>
      </c>
      <c r="M10" s="13" t="s">
        <v>2</v>
      </c>
      <c r="N10" s="7">
        <f>MAX(N3 - O2, 0)</f>
        <v>0.1</v>
      </c>
      <c r="O10" s="7">
        <f>MAX(O3 - O3, 0)</f>
        <v>0</v>
      </c>
      <c r="P10" s="7">
        <f>MAX(P3 - O4, 0)</f>
        <v>0</v>
      </c>
      <c r="Q10" s="8">
        <f>MAX(Q3 - O5, 0)</f>
        <v>0</v>
      </c>
      <c r="S10" s="13" t="s">
        <v>2</v>
      </c>
      <c r="T10" s="21">
        <f>MAX(T3-U2,0)</f>
        <v>0.37999999999999995</v>
      </c>
      <c r="U10" s="22">
        <f>MAX(U3-U3,0)</f>
        <v>0</v>
      </c>
      <c r="V10" s="22">
        <f>MAX(V3-U4,0)</f>
        <v>0</v>
      </c>
      <c r="W10" s="23">
        <f>MAX(W3-U5,0)</f>
        <v>0</v>
      </c>
    </row>
    <row r="11" spans="1:28" x14ac:dyDescent="0.25">
      <c r="A11" s="13" t="s">
        <v>3</v>
      </c>
      <c r="B11" s="7">
        <v>0.5</v>
      </c>
      <c r="C11" s="7">
        <v>0.6</v>
      </c>
      <c r="D11" s="7">
        <v>1</v>
      </c>
      <c r="E11" s="8">
        <v>1</v>
      </c>
      <c r="G11" s="13" t="s">
        <v>3</v>
      </c>
      <c r="H11" s="7">
        <v>0.2</v>
      </c>
      <c r="I11" s="7">
        <v>0.5</v>
      </c>
      <c r="J11" s="7">
        <v>1</v>
      </c>
      <c r="K11" s="8">
        <v>1</v>
      </c>
      <c r="M11" s="13" t="s">
        <v>3</v>
      </c>
      <c r="N11" s="7">
        <f>MAX(N4 - P2, 0)</f>
        <v>0</v>
      </c>
      <c r="O11" s="7">
        <f>MAX(O4 - P3, 0)</f>
        <v>0.3</v>
      </c>
      <c r="P11" s="7">
        <f>MAX(P4 - P4, 0)</f>
        <v>0</v>
      </c>
      <c r="Q11" s="8">
        <f>MAX(Q4 - P5, 0)</f>
        <v>0.1</v>
      </c>
      <c r="S11" s="13" t="s">
        <v>3</v>
      </c>
      <c r="T11" s="21">
        <f>MAX(T4-V2,0)</f>
        <v>0</v>
      </c>
      <c r="U11" s="22">
        <f>MAX(U4-V3,0)</f>
        <v>0.30999999999999994</v>
      </c>
      <c r="V11" s="22">
        <f>MAX(V4-V4,0)</f>
        <v>0</v>
      </c>
      <c r="W11" s="23">
        <f>MAX(W4-V5,0)</f>
        <v>0.37999999999999984</v>
      </c>
    </row>
    <row r="12" spans="1:28" x14ac:dyDescent="0.25">
      <c r="A12" s="13" t="s">
        <v>4</v>
      </c>
      <c r="B12" s="10">
        <v>0.8</v>
      </c>
      <c r="C12" s="10">
        <v>0.9</v>
      </c>
      <c r="D12" s="10">
        <v>0.5</v>
      </c>
      <c r="E12" s="11">
        <v>1</v>
      </c>
      <c r="G12" s="13" t="s">
        <v>4</v>
      </c>
      <c r="H12" s="10">
        <v>0.2</v>
      </c>
      <c r="I12" s="10">
        <v>0.4</v>
      </c>
      <c r="J12" s="10">
        <v>0.4</v>
      </c>
      <c r="K12" s="11">
        <v>1</v>
      </c>
      <c r="M12" s="13" t="s">
        <v>4</v>
      </c>
      <c r="N12" s="7">
        <f>MAX(N5 - Q2, 0)</f>
        <v>0</v>
      </c>
      <c r="O12" s="7">
        <f>MAX(O5 - Q3, 0)</f>
        <v>0.4</v>
      </c>
      <c r="P12" s="7">
        <f>MAX(P5 - Q4, 0)</f>
        <v>0</v>
      </c>
      <c r="Q12" s="8">
        <f>MAX(Q5 - Q5, 0)</f>
        <v>0</v>
      </c>
      <c r="S12" s="13" t="s">
        <v>4</v>
      </c>
      <c r="T12" s="24">
        <f>MAX(T5-W2,0)</f>
        <v>0.27000000000000007</v>
      </c>
      <c r="U12" s="25">
        <f>MAX(U5-W3,0)</f>
        <v>0.12</v>
      </c>
      <c r="V12" s="25">
        <f>MAX(V5-W4,0)</f>
        <v>0</v>
      </c>
      <c r="W12" s="26">
        <f>MAX(W5-W5,0)</f>
        <v>0</v>
      </c>
    </row>
    <row r="13" spans="1:28" x14ac:dyDescent="0.25">
      <c r="M13" s="2" t="s">
        <v>12</v>
      </c>
      <c r="N13" s="3">
        <f>MAX(N9:N12)</f>
        <v>0.1</v>
      </c>
      <c r="O13" s="4">
        <f t="shared" ref="O13:Q13" si="4">MAX(O9:O12)</f>
        <v>0.4</v>
      </c>
      <c r="P13" s="4">
        <f t="shared" si="4"/>
        <v>0</v>
      </c>
      <c r="Q13" s="5">
        <f t="shared" si="4"/>
        <v>0.1</v>
      </c>
      <c r="S13" s="2" t="s">
        <v>12</v>
      </c>
      <c r="T13" s="6">
        <f>MAX(T9:T12)</f>
        <v>0.37999999999999995</v>
      </c>
      <c r="U13" s="7">
        <f t="shared" ref="U13" si="5">MAX(U9:U12)</f>
        <v>0.30999999999999994</v>
      </c>
      <c r="V13" s="7">
        <f t="shared" ref="V13" si="6">MAX(V9:V12)</f>
        <v>0.21999999999999992</v>
      </c>
      <c r="W13" s="8">
        <f t="shared" ref="W13" si="7">MAX(W9:W12)</f>
        <v>0.37999999999999984</v>
      </c>
    </row>
    <row r="14" spans="1:28" x14ac:dyDescent="0.25">
      <c r="M14" s="2" t="s">
        <v>13</v>
      </c>
      <c r="N14" s="9">
        <f>1-N13</f>
        <v>0.9</v>
      </c>
      <c r="O14" s="10">
        <f t="shared" ref="O14:Q14" si="8">1-O13</f>
        <v>0.6</v>
      </c>
      <c r="P14" s="10">
        <f t="shared" si="8"/>
        <v>1</v>
      </c>
      <c r="Q14" s="11">
        <f t="shared" si="8"/>
        <v>0.9</v>
      </c>
      <c r="S14" s="2" t="s">
        <v>13</v>
      </c>
      <c r="T14" s="9">
        <f>1-T13</f>
        <v>0.62000000000000011</v>
      </c>
      <c r="U14" s="10">
        <f t="shared" ref="U14" si="9">1-U13</f>
        <v>0.69000000000000006</v>
      </c>
      <c r="V14" s="10">
        <f t="shared" ref="V14" si="10">1-V13</f>
        <v>0.78</v>
      </c>
      <c r="W14" s="11">
        <f t="shared" ref="W14" si="11">1-W13</f>
        <v>0.62000000000000011</v>
      </c>
    </row>
    <row r="15" spans="1:28" x14ac:dyDescent="0.25">
      <c r="A15" s="13" t="s">
        <v>8</v>
      </c>
      <c r="B15" s="13" t="s">
        <v>1</v>
      </c>
      <c r="C15" s="13" t="s">
        <v>2</v>
      </c>
      <c r="D15" s="13" t="s">
        <v>3</v>
      </c>
      <c r="E15" s="13" t="s">
        <v>4</v>
      </c>
      <c r="G15" s="13" t="s">
        <v>9</v>
      </c>
      <c r="H15" s="13" t="s">
        <v>1</v>
      </c>
      <c r="I15" s="13" t="s">
        <v>2</v>
      </c>
      <c r="J15" s="13" t="s">
        <v>3</v>
      </c>
      <c r="K15" s="13" t="s">
        <v>4</v>
      </c>
    </row>
    <row r="16" spans="1:28" x14ac:dyDescent="0.25">
      <c r="A16" s="13" t="s">
        <v>1</v>
      </c>
      <c r="B16" s="7">
        <v>1</v>
      </c>
      <c r="C16" s="7">
        <v>0.9</v>
      </c>
      <c r="D16" s="7">
        <v>1</v>
      </c>
      <c r="E16" s="8">
        <v>0.7</v>
      </c>
      <c r="G16" s="13" t="s">
        <v>1</v>
      </c>
      <c r="H16" s="7">
        <v>1</v>
      </c>
      <c r="I16" s="7">
        <v>0.2</v>
      </c>
      <c r="J16" s="7">
        <v>1</v>
      </c>
      <c r="K16" s="8">
        <v>0.2</v>
      </c>
    </row>
    <row r="17" spans="1:23" x14ac:dyDescent="0.25">
      <c r="A17" s="13" t="s">
        <v>2</v>
      </c>
      <c r="B17" s="7">
        <v>1</v>
      </c>
      <c r="C17" s="7">
        <v>1</v>
      </c>
      <c r="D17" s="7">
        <v>0.8</v>
      </c>
      <c r="E17" s="8">
        <v>1</v>
      </c>
      <c r="G17" s="13" t="s">
        <v>2</v>
      </c>
      <c r="H17" s="7">
        <v>1</v>
      </c>
      <c r="I17" s="7">
        <v>1</v>
      </c>
      <c r="J17" s="7">
        <v>0.3</v>
      </c>
      <c r="K17" s="8">
        <v>0.9</v>
      </c>
      <c r="M17" s="1" t="s">
        <v>14</v>
      </c>
      <c r="N17" s="15" t="s">
        <v>15</v>
      </c>
      <c r="O17" s="15"/>
      <c r="P17" s="15"/>
      <c r="Q17" s="15"/>
      <c r="S17" t="s">
        <v>18</v>
      </c>
      <c r="T17" s="27" t="s">
        <v>25</v>
      </c>
      <c r="U17" s="27"/>
      <c r="V17" s="27"/>
      <c r="W17" s="27"/>
    </row>
    <row r="18" spans="1:23" x14ac:dyDescent="0.25">
      <c r="A18" s="13" t="s">
        <v>3</v>
      </c>
      <c r="B18" s="7">
        <v>0.2</v>
      </c>
      <c r="C18" s="7">
        <v>0.5</v>
      </c>
      <c r="D18" s="7">
        <v>1</v>
      </c>
      <c r="E18" s="8">
        <v>0.7</v>
      </c>
      <c r="G18" s="13" t="s">
        <v>3</v>
      </c>
      <c r="H18" s="7">
        <v>0.2</v>
      </c>
      <c r="I18" s="7">
        <v>1</v>
      </c>
      <c r="J18" s="7">
        <v>1</v>
      </c>
      <c r="K18" s="8">
        <v>0.6</v>
      </c>
    </row>
    <row r="19" spans="1:23" x14ac:dyDescent="0.25">
      <c r="A19" s="13" t="s">
        <v>4</v>
      </c>
      <c r="B19" s="10">
        <v>0.5</v>
      </c>
      <c r="C19" s="10">
        <v>0.4</v>
      </c>
      <c r="D19" s="10">
        <v>0</v>
      </c>
      <c r="E19" s="11">
        <v>1</v>
      </c>
      <c r="G19" s="13" t="s">
        <v>4</v>
      </c>
      <c r="H19" s="10">
        <v>0.8</v>
      </c>
      <c r="I19" s="10">
        <v>0.4</v>
      </c>
      <c r="J19" s="10">
        <v>1</v>
      </c>
      <c r="K19" s="11">
        <v>1</v>
      </c>
    </row>
    <row r="20" spans="1:23" x14ac:dyDescent="0.25">
      <c r="M20" s="30"/>
    </row>
    <row r="22" spans="1:23" x14ac:dyDescent="0.25">
      <c r="A22" t="s">
        <v>19</v>
      </c>
      <c r="B22" s="2">
        <v>0.3</v>
      </c>
    </row>
    <row r="23" spans="1:23" x14ac:dyDescent="0.25">
      <c r="A23" t="s">
        <v>20</v>
      </c>
      <c r="B23" s="2">
        <v>0.3</v>
      </c>
    </row>
    <row r="24" spans="1:23" x14ac:dyDescent="0.25">
      <c r="A24" t="s">
        <v>21</v>
      </c>
      <c r="B24" s="2">
        <v>0.1</v>
      </c>
    </row>
    <row r="25" spans="1:23" x14ac:dyDescent="0.25">
      <c r="A25" t="s">
        <v>22</v>
      </c>
      <c r="B25" s="2">
        <v>0.1</v>
      </c>
    </row>
    <row r="26" spans="1:23" x14ac:dyDescent="0.25">
      <c r="A26" t="s">
        <v>23</v>
      </c>
      <c r="B26" s="2">
        <v>0.1</v>
      </c>
    </row>
    <row r="27" spans="1:23" x14ac:dyDescent="0.25">
      <c r="A27" t="s">
        <v>24</v>
      </c>
      <c r="B27" s="2">
        <v>0.1</v>
      </c>
    </row>
  </sheetData>
  <mergeCells count="3">
    <mergeCell ref="N17:Q17"/>
    <mergeCell ref="T17:W17"/>
    <mergeCell ref="Z5:AB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F05B-1246-431C-ACAA-9C52D3ABBAA3}">
  <dimension ref="B2:AI44"/>
  <sheetViews>
    <sheetView tabSelected="1" topLeftCell="A13" zoomScaleNormal="100" workbookViewId="0">
      <selection activeCell="AA41" sqref="AA41"/>
    </sheetView>
  </sheetViews>
  <sheetFormatPr defaultRowHeight="15" x14ac:dyDescent="0.25"/>
  <cols>
    <col min="1" max="2" width="3.42578125" bestFit="1" customWidth="1"/>
    <col min="3" max="12" width="4.28515625" bestFit="1" customWidth="1"/>
    <col min="15" max="15" width="4.42578125" bestFit="1" customWidth="1"/>
    <col min="16" max="16" width="4" bestFit="1" customWidth="1"/>
    <col min="17" max="17" width="4.28515625" bestFit="1" customWidth="1"/>
    <col min="18" max="18" width="4.42578125" bestFit="1" customWidth="1"/>
    <col min="19" max="20" width="4.28515625" bestFit="1" customWidth="1"/>
    <col min="21" max="21" width="4" customWidth="1"/>
    <col min="22" max="22" width="4.7109375" bestFit="1" customWidth="1"/>
    <col min="23" max="29" width="4.28515625" bestFit="1" customWidth="1"/>
    <col min="30" max="30" width="2.42578125" bestFit="1" customWidth="1"/>
    <col min="31" max="31" width="4" customWidth="1"/>
    <col min="32" max="32" width="4" bestFit="1" customWidth="1"/>
    <col min="33" max="36" width="4.28515625" bestFit="1" customWidth="1"/>
  </cols>
  <sheetData>
    <row r="2" spans="2:30" x14ac:dyDescent="0.25">
      <c r="B2" s="35" t="s">
        <v>0</v>
      </c>
      <c r="C2" s="46" t="s">
        <v>1</v>
      </c>
      <c r="D2" s="46" t="s">
        <v>2</v>
      </c>
      <c r="E2" s="46" t="s">
        <v>3</v>
      </c>
      <c r="F2" s="36" t="s">
        <v>4</v>
      </c>
      <c r="H2" s="35" t="s">
        <v>5</v>
      </c>
      <c r="I2" s="46" t="s">
        <v>1</v>
      </c>
      <c r="J2" s="46" t="s">
        <v>2</v>
      </c>
      <c r="K2" s="46" t="s">
        <v>3</v>
      </c>
      <c r="L2" s="36" t="s">
        <v>4</v>
      </c>
      <c r="O2" s="35" t="s">
        <v>54</v>
      </c>
      <c r="P2" s="46" t="s">
        <v>36</v>
      </c>
      <c r="Q2" s="46" t="s">
        <v>37</v>
      </c>
      <c r="R2" s="46" t="s">
        <v>39</v>
      </c>
      <c r="S2" s="46" t="s">
        <v>40</v>
      </c>
      <c r="T2" s="46" t="s">
        <v>38</v>
      </c>
      <c r="U2" s="36" t="s">
        <v>41</v>
      </c>
    </row>
    <row r="3" spans="2:30" x14ac:dyDescent="0.25">
      <c r="B3" s="47" t="s">
        <v>1</v>
      </c>
      <c r="C3" s="2">
        <v>1</v>
      </c>
      <c r="D3" s="2">
        <v>0.2</v>
      </c>
      <c r="E3" s="2">
        <v>0.7</v>
      </c>
      <c r="F3" s="8">
        <v>0.2</v>
      </c>
      <c r="H3" s="47" t="s">
        <v>1</v>
      </c>
      <c r="I3" s="2">
        <v>1</v>
      </c>
      <c r="J3" s="2">
        <v>0.4</v>
      </c>
      <c r="K3" s="2">
        <v>0.2</v>
      </c>
      <c r="L3" s="8">
        <v>0.2</v>
      </c>
      <c r="O3" s="47" t="s">
        <v>36</v>
      </c>
      <c r="P3" s="3">
        <v>1</v>
      </c>
      <c r="Q3" s="4">
        <v>0.4</v>
      </c>
      <c r="R3" s="4">
        <v>0.2</v>
      </c>
      <c r="S3" s="4">
        <v>0.8</v>
      </c>
      <c r="T3" s="4">
        <v>0.9</v>
      </c>
      <c r="U3" s="5">
        <v>0</v>
      </c>
    </row>
    <row r="4" spans="2:30" x14ac:dyDescent="0.25">
      <c r="B4" s="47" t="s">
        <v>2</v>
      </c>
      <c r="C4" s="2">
        <v>0.8</v>
      </c>
      <c r="D4" s="2">
        <v>1</v>
      </c>
      <c r="E4" s="2">
        <v>0.3</v>
      </c>
      <c r="F4" s="8">
        <v>0.9</v>
      </c>
      <c r="H4" s="47" t="s">
        <v>2</v>
      </c>
      <c r="I4" s="2">
        <v>0.8</v>
      </c>
      <c r="J4" s="2">
        <v>1</v>
      </c>
      <c r="K4" s="2">
        <v>0.3</v>
      </c>
      <c r="L4" s="8">
        <v>0</v>
      </c>
      <c r="O4" s="47" t="s">
        <v>37</v>
      </c>
      <c r="P4" s="6">
        <v>0.2</v>
      </c>
      <c r="Q4" s="2">
        <v>1</v>
      </c>
      <c r="R4" s="2">
        <v>0.3</v>
      </c>
      <c r="S4" s="2">
        <v>0.2</v>
      </c>
      <c r="T4" s="2">
        <v>0.7</v>
      </c>
      <c r="U4" s="8">
        <v>0.8</v>
      </c>
    </row>
    <row r="5" spans="2:30" x14ac:dyDescent="0.25">
      <c r="B5" s="47" t="s">
        <v>3</v>
      </c>
      <c r="C5" s="2">
        <v>0.6</v>
      </c>
      <c r="D5" s="2">
        <v>0.6</v>
      </c>
      <c r="E5" s="2">
        <v>1</v>
      </c>
      <c r="F5" s="8">
        <v>0.1</v>
      </c>
      <c r="H5" s="47" t="s">
        <v>3</v>
      </c>
      <c r="I5" s="2">
        <v>0.2</v>
      </c>
      <c r="J5" s="2">
        <v>0.7</v>
      </c>
      <c r="K5" s="2">
        <v>1</v>
      </c>
      <c r="L5" s="8">
        <v>0.7</v>
      </c>
      <c r="O5" s="47" t="s">
        <v>39</v>
      </c>
      <c r="P5" s="6">
        <v>0.2</v>
      </c>
      <c r="Q5" s="2">
        <v>0.5</v>
      </c>
      <c r="R5" s="2">
        <v>1</v>
      </c>
      <c r="S5" s="2">
        <v>0.1</v>
      </c>
      <c r="T5" s="2">
        <v>0.1</v>
      </c>
      <c r="U5" s="8">
        <v>0.1</v>
      </c>
    </row>
    <row r="6" spans="2:30" x14ac:dyDescent="0.25">
      <c r="B6" s="48" t="s">
        <v>4</v>
      </c>
      <c r="C6" s="10">
        <v>0.5</v>
      </c>
      <c r="D6" s="10">
        <v>0.7</v>
      </c>
      <c r="E6" s="10">
        <v>0</v>
      </c>
      <c r="F6" s="11">
        <v>1</v>
      </c>
      <c r="H6" s="48" t="s">
        <v>4</v>
      </c>
      <c r="I6" s="10">
        <v>0.8</v>
      </c>
      <c r="J6" s="10">
        <v>0.9</v>
      </c>
      <c r="K6" s="10">
        <v>0</v>
      </c>
      <c r="L6" s="11">
        <v>1</v>
      </c>
      <c r="O6" s="47" t="s">
        <v>40</v>
      </c>
      <c r="P6" s="6">
        <v>0.1</v>
      </c>
      <c r="Q6" s="2">
        <v>0.3</v>
      </c>
      <c r="R6" s="2">
        <v>0.5</v>
      </c>
      <c r="S6" s="2">
        <v>1</v>
      </c>
      <c r="T6" s="2">
        <v>0.2</v>
      </c>
      <c r="U6" s="8">
        <v>0.2</v>
      </c>
    </row>
    <row r="7" spans="2:30" x14ac:dyDescent="0.25">
      <c r="O7" s="47" t="s">
        <v>38</v>
      </c>
      <c r="P7" s="6">
        <v>0.5</v>
      </c>
      <c r="Q7" s="2">
        <v>0.2</v>
      </c>
      <c r="R7" s="2">
        <v>0.4</v>
      </c>
      <c r="S7" s="2">
        <v>0.6</v>
      </c>
      <c r="T7" s="2">
        <v>1</v>
      </c>
      <c r="U7" s="8">
        <v>0.6</v>
      </c>
    </row>
    <row r="8" spans="2:30" x14ac:dyDescent="0.25">
      <c r="B8" s="35" t="s">
        <v>0</v>
      </c>
      <c r="C8" s="46" t="s">
        <v>1</v>
      </c>
      <c r="D8" s="46" t="s">
        <v>2</v>
      </c>
      <c r="E8" s="46" t="s">
        <v>3</v>
      </c>
      <c r="F8" s="36" t="s">
        <v>4</v>
      </c>
      <c r="H8" s="35" t="s">
        <v>5</v>
      </c>
      <c r="I8" s="46" t="s">
        <v>1</v>
      </c>
      <c r="J8" s="46" t="s">
        <v>2</v>
      </c>
      <c r="K8" s="46" t="s">
        <v>3</v>
      </c>
      <c r="L8" s="36" t="s">
        <v>4</v>
      </c>
      <c r="O8" s="48" t="s">
        <v>41</v>
      </c>
      <c r="P8" s="9">
        <v>0.3</v>
      </c>
      <c r="Q8" s="10">
        <v>0.5</v>
      </c>
      <c r="R8" s="10">
        <v>0.5</v>
      </c>
      <c r="S8" s="10">
        <v>0.7</v>
      </c>
      <c r="T8" s="10">
        <v>0.2</v>
      </c>
      <c r="U8" s="11">
        <v>1</v>
      </c>
    </row>
    <row r="9" spans="2:30" x14ac:dyDescent="0.25">
      <c r="B9" s="47" t="s">
        <v>1</v>
      </c>
      <c r="C9" s="38">
        <v>0</v>
      </c>
      <c r="D9" s="39">
        <f>MAX(D3-C4,0)</f>
        <v>0</v>
      </c>
      <c r="E9" s="39">
        <f>MAX(E3-C5,0)</f>
        <v>9.9999999999999978E-2</v>
      </c>
      <c r="F9" s="40">
        <f>MAX(F3-C6,0)</f>
        <v>0</v>
      </c>
      <c r="H9" s="47" t="s">
        <v>1</v>
      </c>
      <c r="I9" s="38">
        <v>0</v>
      </c>
      <c r="J9" s="39">
        <f>MAX(J3-I4,0)</f>
        <v>0</v>
      </c>
      <c r="K9" s="39">
        <f>MAX(K3-I5,0)</f>
        <v>0</v>
      </c>
      <c r="L9" s="40">
        <f>MAX(L3-I6,0)</f>
        <v>0</v>
      </c>
    </row>
    <row r="10" spans="2:30" x14ac:dyDescent="0.25">
      <c r="B10" s="47" t="s">
        <v>2</v>
      </c>
      <c r="C10" s="41">
        <f>MAX(C4-D3,0)</f>
        <v>0.60000000000000009</v>
      </c>
      <c r="D10">
        <v>0</v>
      </c>
      <c r="E10">
        <f>MAX(E4-D5,0)</f>
        <v>0</v>
      </c>
      <c r="F10" s="42">
        <f>MAX(F4-D6,0)</f>
        <v>0.20000000000000007</v>
      </c>
      <c r="H10" s="47" t="s">
        <v>2</v>
      </c>
      <c r="I10" s="41">
        <f>MAX(I4-J3,0)</f>
        <v>0.4</v>
      </c>
      <c r="J10">
        <v>0</v>
      </c>
      <c r="K10">
        <f>MAX(K4-J5,0)</f>
        <v>0</v>
      </c>
      <c r="L10" s="42">
        <f>MAX(L4-J6,0)</f>
        <v>0</v>
      </c>
    </row>
    <row r="11" spans="2:30" x14ac:dyDescent="0.25">
      <c r="B11" s="47" t="s">
        <v>3</v>
      </c>
      <c r="C11" s="41">
        <f>MAX(C5-E3,0)</f>
        <v>0</v>
      </c>
      <c r="D11">
        <f>MAX(D5-E4,0)</f>
        <v>0.3</v>
      </c>
      <c r="E11">
        <v>0</v>
      </c>
      <c r="F11" s="42">
        <f>MAX(F5-E6,0)</f>
        <v>0.1</v>
      </c>
      <c r="H11" s="47" t="s">
        <v>3</v>
      </c>
      <c r="I11" s="41">
        <f>MAX(I5-K3,0)</f>
        <v>0</v>
      </c>
      <c r="J11">
        <f>MAX(J5-K4,0)</f>
        <v>0.39999999999999997</v>
      </c>
      <c r="K11">
        <v>0</v>
      </c>
      <c r="L11" s="42">
        <f>MAX(L5-K6,0)</f>
        <v>0.7</v>
      </c>
      <c r="O11" s="35" t="s">
        <v>42</v>
      </c>
      <c r="P11" s="46" t="s">
        <v>43</v>
      </c>
      <c r="Q11" s="46" t="s">
        <v>44</v>
      </c>
      <c r="R11" s="46" t="s">
        <v>45</v>
      </c>
      <c r="S11" s="36" t="s">
        <v>46</v>
      </c>
    </row>
    <row r="12" spans="2:30" x14ac:dyDescent="0.25">
      <c r="B12" s="48" t="s">
        <v>4</v>
      </c>
      <c r="C12" s="41">
        <f>MAX(C6-F3,0)</f>
        <v>0.3</v>
      </c>
      <c r="D12">
        <f>MAX(D6-F4,0)</f>
        <v>0</v>
      </c>
      <c r="E12">
        <f>MAX(E6-F5,0)</f>
        <v>0</v>
      </c>
      <c r="F12" s="42">
        <v>0</v>
      </c>
      <c r="H12" s="48" t="s">
        <v>4</v>
      </c>
      <c r="I12" s="41">
        <f>MAX(I6-L3,0)</f>
        <v>0.60000000000000009</v>
      </c>
      <c r="J12">
        <f>MAX(J6-L4,0)</f>
        <v>0.9</v>
      </c>
      <c r="K12">
        <f>MAX(K6-L5,0)</f>
        <v>0</v>
      </c>
      <c r="L12" s="42">
        <v>0</v>
      </c>
      <c r="O12" s="47" t="s">
        <v>36</v>
      </c>
      <c r="P12">
        <f>C14</f>
        <v>0.39999999999999991</v>
      </c>
      <c r="Q12">
        <f>D14</f>
        <v>0.7</v>
      </c>
      <c r="R12">
        <f>E14</f>
        <v>0.9</v>
      </c>
      <c r="S12" s="42">
        <f>F14</f>
        <v>0.79999999999999993</v>
      </c>
    </row>
    <row r="13" spans="2:30" x14ac:dyDescent="0.25">
      <c r="B13" s="2" t="s">
        <v>12</v>
      </c>
      <c r="C13" s="49">
        <f>MAX(C9:C12)</f>
        <v>0.60000000000000009</v>
      </c>
      <c r="D13" s="46">
        <f>MAX(D9:D12)</f>
        <v>0.3</v>
      </c>
      <c r="E13" s="46">
        <f>MAX(E9:E12)</f>
        <v>9.9999999999999978E-2</v>
      </c>
      <c r="F13" s="36">
        <f>MAX(F9:F12)</f>
        <v>0.20000000000000007</v>
      </c>
      <c r="H13" s="2" t="s">
        <v>12</v>
      </c>
      <c r="I13" s="49">
        <f>MAX(I9:I12)</f>
        <v>0.60000000000000009</v>
      </c>
      <c r="J13" s="46">
        <f>MAX(J9:J12)</f>
        <v>0.9</v>
      </c>
      <c r="K13" s="46">
        <f>MAX(K9:K12)</f>
        <v>0</v>
      </c>
      <c r="L13" s="36">
        <f>MAX(L9:L12)</f>
        <v>0.7</v>
      </c>
      <c r="O13" s="47" t="s">
        <v>37</v>
      </c>
      <c r="P13">
        <f>I14</f>
        <v>0.39999999999999991</v>
      </c>
      <c r="Q13">
        <f>J14</f>
        <v>9.9999999999999978E-2</v>
      </c>
      <c r="R13">
        <f>K14</f>
        <v>1</v>
      </c>
      <c r="S13" s="42">
        <f>L14</f>
        <v>0.30000000000000004</v>
      </c>
    </row>
    <row r="14" spans="2:30" x14ac:dyDescent="0.25">
      <c r="B14" s="2" t="s">
        <v>13</v>
      </c>
      <c r="C14" s="49">
        <f>1-C13</f>
        <v>0.39999999999999991</v>
      </c>
      <c r="D14" s="46">
        <f>1-D13</f>
        <v>0.7</v>
      </c>
      <c r="E14" s="46">
        <f>1-E13</f>
        <v>0.9</v>
      </c>
      <c r="F14" s="36">
        <f>1-F13</f>
        <v>0.79999999999999993</v>
      </c>
      <c r="H14" s="2" t="s">
        <v>13</v>
      </c>
      <c r="I14" s="49">
        <f>1-I13</f>
        <v>0.39999999999999991</v>
      </c>
      <c r="J14" s="46">
        <f>1-J13</f>
        <v>9.9999999999999978E-2</v>
      </c>
      <c r="K14" s="46">
        <f>1-K13</f>
        <v>1</v>
      </c>
      <c r="L14" s="36">
        <f>1-L13</f>
        <v>0.30000000000000004</v>
      </c>
      <c r="O14" s="47" t="s">
        <v>39</v>
      </c>
      <c r="P14">
        <f>C29</f>
        <v>0.6</v>
      </c>
      <c r="Q14">
        <f>D29</f>
        <v>0.5</v>
      </c>
      <c r="R14">
        <f>E29</f>
        <v>1</v>
      </c>
      <c r="S14" s="42">
        <f>F29</f>
        <v>0.5</v>
      </c>
    </row>
    <row r="15" spans="2:30" x14ac:dyDescent="0.25">
      <c r="O15" s="47" t="s">
        <v>40</v>
      </c>
      <c r="P15">
        <f>I29</f>
        <v>1</v>
      </c>
      <c r="Q15">
        <f>J29</f>
        <v>0.5</v>
      </c>
      <c r="R15">
        <f>K29</f>
        <v>0.7</v>
      </c>
      <c r="S15" s="42">
        <f>L29</f>
        <v>0.39999999999999991</v>
      </c>
      <c r="AD15" s="37"/>
    </row>
    <row r="16" spans="2:30" x14ac:dyDescent="0.25">
      <c r="O16" s="47" t="s">
        <v>38</v>
      </c>
      <c r="P16">
        <f>C44</f>
        <v>0.9</v>
      </c>
      <c r="Q16">
        <f>D44</f>
        <v>1</v>
      </c>
      <c r="R16">
        <f>E44</f>
        <v>0.19999999999999996</v>
      </c>
      <c r="S16" s="42">
        <f>F44</f>
        <v>0.30000000000000004</v>
      </c>
    </row>
    <row r="17" spans="2:35" x14ac:dyDescent="0.25">
      <c r="B17" s="35" t="s">
        <v>6</v>
      </c>
      <c r="C17" s="46" t="s">
        <v>1</v>
      </c>
      <c r="D17" s="46" t="s">
        <v>2</v>
      </c>
      <c r="E17" s="46" t="s">
        <v>3</v>
      </c>
      <c r="F17" s="36" t="s">
        <v>4</v>
      </c>
      <c r="H17" s="35" t="s">
        <v>7</v>
      </c>
      <c r="I17" s="46" t="s">
        <v>1</v>
      </c>
      <c r="J17" s="46" t="s">
        <v>2</v>
      </c>
      <c r="K17" s="46" t="s">
        <v>3</v>
      </c>
      <c r="L17" s="36" t="s">
        <v>4</v>
      </c>
      <c r="O17" s="48" t="s">
        <v>41</v>
      </c>
      <c r="P17" s="43">
        <f>I44</f>
        <v>0.19999999999999996</v>
      </c>
      <c r="Q17" s="43">
        <f>J44</f>
        <v>0.30000000000000004</v>
      </c>
      <c r="R17" s="43">
        <f>K44</f>
        <v>0.19999999999999996</v>
      </c>
      <c r="S17" s="44">
        <f>L44</f>
        <v>0.5</v>
      </c>
    </row>
    <row r="18" spans="2:35" x14ac:dyDescent="0.25">
      <c r="B18" s="47" t="s">
        <v>1</v>
      </c>
      <c r="C18" s="3">
        <v>1</v>
      </c>
      <c r="D18" s="4">
        <v>0</v>
      </c>
      <c r="E18" s="4">
        <v>0.5</v>
      </c>
      <c r="F18" s="5">
        <v>0.6</v>
      </c>
      <c r="H18" s="47" t="s">
        <v>1</v>
      </c>
      <c r="I18" s="3">
        <v>1</v>
      </c>
      <c r="J18" s="4">
        <v>0.6</v>
      </c>
      <c r="K18" s="4">
        <v>0.5</v>
      </c>
      <c r="L18" s="5">
        <v>0.8</v>
      </c>
    </row>
    <row r="19" spans="2:35" ht="17.25" x14ac:dyDescent="0.25">
      <c r="B19" s="47" t="s">
        <v>2</v>
      </c>
      <c r="C19" s="6">
        <v>0.4</v>
      </c>
      <c r="D19" s="2">
        <v>1</v>
      </c>
      <c r="E19" s="2">
        <v>0.2</v>
      </c>
      <c r="F19" s="8">
        <v>0.4</v>
      </c>
      <c r="H19" s="47" t="s">
        <v>2</v>
      </c>
      <c r="I19" s="6">
        <v>0.1</v>
      </c>
      <c r="J19" s="2">
        <v>1</v>
      </c>
      <c r="K19" s="2">
        <v>0.3</v>
      </c>
      <c r="L19" s="8">
        <v>0.7</v>
      </c>
      <c r="O19" s="35" t="s">
        <v>47</v>
      </c>
      <c r="P19" s="46" t="s">
        <v>36</v>
      </c>
      <c r="Q19" s="46" t="s">
        <v>37</v>
      </c>
      <c r="R19" s="46" t="s">
        <v>39</v>
      </c>
      <c r="S19" s="46" t="s">
        <v>40</v>
      </c>
      <c r="T19" s="46" t="s">
        <v>38</v>
      </c>
      <c r="U19" s="36" t="s">
        <v>41</v>
      </c>
    </row>
    <row r="20" spans="2:35" x14ac:dyDescent="0.25">
      <c r="B20" s="47" t="s">
        <v>3</v>
      </c>
      <c r="C20" s="6">
        <v>0.5</v>
      </c>
      <c r="D20" s="2">
        <v>0.6</v>
      </c>
      <c r="E20" s="2">
        <v>1</v>
      </c>
      <c r="F20" s="8">
        <v>1</v>
      </c>
      <c r="H20" s="47" t="s">
        <v>3</v>
      </c>
      <c r="I20" s="6">
        <v>0.2</v>
      </c>
      <c r="J20" s="2">
        <v>0.5</v>
      </c>
      <c r="K20" s="2">
        <v>1</v>
      </c>
      <c r="L20" s="8">
        <v>1</v>
      </c>
      <c r="O20" s="47" t="s">
        <v>43</v>
      </c>
      <c r="P20">
        <f>P12</f>
        <v>0.39999999999999991</v>
      </c>
      <c r="Q20">
        <f>P13</f>
        <v>0.39999999999999991</v>
      </c>
      <c r="R20">
        <f>P14</f>
        <v>0.6</v>
      </c>
      <c r="S20">
        <f>P15</f>
        <v>1</v>
      </c>
      <c r="T20">
        <f>P16</f>
        <v>0.9</v>
      </c>
      <c r="U20" s="42">
        <f>P17</f>
        <v>0.19999999999999996</v>
      </c>
    </row>
    <row r="21" spans="2:35" x14ac:dyDescent="0.25">
      <c r="B21" s="48" t="s">
        <v>4</v>
      </c>
      <c r="C21" s="9">
        <v>0.8</v>
      </c>
      <c r="D21" s="10">
        <v>0.9</v>
      </c>
      <c r="E21" s="10">
        <v>0.5</v>
      </c>
      <c r="F21" s="11">
        <v>1</v>
      </c>
      <c r="H21" s="48" t="s">
        <v>4</v>
      </c>
      <c r="I21" s="9">
        <v>0.2</v>
      </c>
      <c r="J21" s="10">
        <v>0.4</v>
      </c>
      <c r="K21" s="10">
        <v>0.4</v>
      </c>
      <c r="L21" s="11">
        <v>1</v>
      </c>
      <c r="O21" s="47" t="s">
        <v>44</v>
      </c>
      <c r="P21">
        <f>Q12</f>
        <v>0.7</v>
      </c>
      <c r="Q21">
        <f>Q13</f>
        <v>9.9999999999999978E-2</v>
      </c>
      <c r="R21">
        <f>Q14</f>
        <v>0.5</v>
      </c>
      <c r="S21">
        <f>Q15</f>
        <v>0.5</v>
      </c>
      <c r="T21">
        <f>Q16</f>
        <v>1</v>
      </c>
      <c r="U21" s="42">
        <f>Q17</f>
        <v>0.30000000000000004</v>
      </c>
    </row>
    <row r="22" spans="2:35" x14ac:dyDescent="0.25">
      <c r="O22" s="47" t="s">
        <v>45</v>
      </c>
      <c r="P22">
        <f>R12</f>
        <v>0.9</v>
      </c>
      <c r="Q22">
        <f>R13</f>
        <v>1</v>
      </c>
      <c r="R22">
        <f>R14</f>
        <v>1</v>
      </c>
      <c r="S22">
        <f>R15</f>
        <v>0.7</v>
      </c>
      <c r="T22">
        <f>R16</f>
        <v>0.19999999999999996</v>
      </c>
      <c r="U22" s="42">
        <f>R17</f>
        <v>0.19999999999999996</v>
      </c>
    </row>
    <row r="23" spans="2:35" x14ac:dyDescent="0.25">
      <c r="B23" s="35" t="s">
        <v>6</v>
      </c>
      <c r="C23" s="46" t="s">
        <v>1</v>
      </c>
      <c r="D23" s="46" t="s">
        <v>2</v>
      </c>
      <c r="E23" s="46" t="s">
        <v>3</v>
      </c>
      <c r="F23" s="36" t="s">
        <v>4</v>
      </c>
      <c r="H23" s="35" t="s">
        <v>7</v>
      </c>
      <c r="I23" s="46" t="s">
        <v>1</v>
      </c>
      <c r="J23" s="46" t="s">
        <v>2</v>
      </c>
      <c r="K23" s="46" t="s">
        <v>3</v>
      </c>
      <c r="L23" s="36" t="s">
        <v>4</v>
      </c>
      <c r="O23" s="48" t="s">
        <v>46</v>
      </c>
      <c r="P23" s="43">
        <f>S12</f>
        <v>0.79999999999999993</v>
      </c>
      <c r="Q23" s="43">
        <f>S13</f>
        <v>0.30000000000000004</v>
      </c>
      <c r="R23" s="43">
        <f>S14</f>
        <v>0.5</v>
      </c>
      <c r="S23" s="43">
        <f>S15</f>
        <v>0.39999999999999991</v>
      </c>
      <c r="T23" s="43">
        <f>S16</f>
        <v>0.30000000000000004</v>
      </c>
      <c r="U23" s="44">
        <f>S17</f>
        <v>0.5</v>
      </c>
    </row>
    <row r="24" spans="2:35" x14ac:dyDescent="0.25">
      <c r="B24" s="47" t="s">
        <v>1</v>
      </c>
      <c r="C24" s="38">
        <v>0</v>
      </c>
      <c r="D24" s="39">
        <f>MAX(D18-C19,0)</f>
        <v>0</v>
      </c>
      <c r="E24" s="39">
        <f>MAX(E18-C20,0)</f>
        <v>0</v>
      </c>
      <c r="F24" s="40">
        <f>MAX(F18-C21,0)</f>
        <v>0</v>
      </c>
      <c r="H24" s="47" t="s">
        <v>1</v>
      </c>
      <c r="I24" s="38">
        <v>0</v>
      </c>
      <c r="J24" s="39">
        <f>MAX(J18-I19,0)</f>
        <v>0.5</v>
      </c>
      <c r="K24" s="39">
        <f>MAX(K18-I20,0)</f>
        <v>0.3</v>
      </c>
      <c r="L24" s="40">
        <f>MAX(L18-I21,0)</f>
        <v>0.60000000000000009</v>
      </c>
    </row>
    <row r="25" spans="2:35" x14ac:dyDescent="0.25">
      <c r="B25" s="47" t="s">
        <v>2</v>
      </c>
      <c r="C25" s="41">
        <f>MAX(C19-D18,0)</f>
        <v>0.4</v>
      </c>
      <c r="D25">
        <v>0</v>
      </c>
      <c r="E25">
        <f>MAX(E19-D20,0)</f>
        <v>0</v>
      </c>
      <c r="F25" s="42">
        <f>MAX(F19-D21,0)</f>
        <v>0</v>
      </c>
      <c r="H25" s="47" t="s">
        <v>2</v>
      </c>
      <c r="I25" s="41">
        <f>MAX(I19-J18,0)</f>
        <v>0</v>
      </c>
      <c r="J25">
        <v>0</v>
      </c>
      <c r="K25">
        <f>MAX(K19-J20,0)</f>
        <v>0</v>
      </c>
      <c r="L25" s="42">
        <f>MAX(L19-J21,0)</f>
        <v>0.29999999999999993</v>
      </c>
    </row>
    <row r="26" spans="2:35" ht="17.25" x14ac:dyDescent="0.25">
      <c r="B26" s="47" t="s">
        <v>3</v>
      </c>
      <c r="C26" s="41">
        <f>MAX(C20-E18,0)</f>
        <v>0</v>
      </c>
      <c r="D26">
        <f>MAX(D20-E19,0)</f>
        <v>0.39999999999999997</v>
      </c>
      <c r="E26">
        <v>0</v>
      </c>
      <c r="F26" s="42">
        <f>MAX(F20-E21,0)</f>
        <v>0.5</v>
      </c>
      <c r="H26" s="47" t="s">
        <v>3</v>
      </c>
      <c r="I26" s="41">
        <f>MAX(I20-K18,0)</f>
        <v>0</v>
      </c>
      <c r="J26">
        <f>MAX(J20-K19,0)</f>
        <v>0.2</v>
      </c>
      <c r="K26">
        <v>0</v>
      </c>
      <c r="L26" s="42">
        <f>MAX(L20-K21,0)</f>
        <v>0.6</v>
      </c>
      <c r="O26" s="2" t="s">
        <v>48</v>
      </c>
      <c r="P26" s="2" t="s">
        <v>49</v>
      </c>
      <c r="Q26" s="2" t="s">
        <v>47</v>
      </c>
      <c r="R26" s="2" t="s">
        <v>50</v>
      </c>
      <c r="S26" s="2" t="s">
        <v>51</v>
      </c>
      <c r="T26" s="2" t="s">
        <v>50</v>
      </c>
      <c r="U26" s="2" t="s">
        <v>42</v>
      </c>
      <c r="V26" s="2" t="s">
        <v>49</v>
      </c>
      <c r="W26" s="3">
        <f>MAX(MIN(P20,$P$3),MIN(Q20,$P$4),MIN(R20,$P$5),MIN(S20,$P$6),MIN(T20,$P$7),MIN(U20,$P$8))</f>
        <v>0.5</v>
      </c>
      <c r="X26" s="4">
        <f>MAX(MIN(P20,$Q$3),MIN(Q20,$Q$4),MIN(R20,$Q$5),MIN(S20,$Q$6),MIN(T20,$Q$7),MIN(U20,$Q$8))</f>
        <v>0.5</v>
      </c>
      <c r="Y26" s="4">
        <f>MAX(MIN(P20,$R$3),MIN(Q20,$R$4),MIN(R20,$R$5),MIN(S20,$R$6),MIN(T20,$R$7),MIN(U20,$R$8))</f>
        <v>0.6</v>
      </c>
      <c r="Z26" s="4">
        <f>MAX(MIN(P20,$S$3),MIN(Q20,$S$4),MIN(R20,$S$5),MIN(S20,$S$6),MIN(T20,$S$7),MIN(U20,$S$8))</f>
        <v>1</v>
      </c>
      <c r="AA26" s="4">
        <f>MAX(MIN(P20,$T$3),MIN(Q20,$T$4),MIN(R20,$T$5),MIN(S20,$T$6),MIN(T20,$T$7),MIN(U20,$T$8))</f>
        <v>0.9</v>
      </c>
      <c r="AB26" s="5">
        <f>MAX(MIN(P20,$U$3),MIN(Q20,$U$4),MIN(R20,$U$5),MIN(S20,$U$6),MIN(T20,U7),MIN(U20,U8))</f>
        <v>0.6</v>
      </c>
      <c r="AC26" s="2" t="s">
        <v>50</v>
      </c>
      <c r="AD26" s="2" t="s">
        <v>42</v>
      </c>
      <c r="AE26" s="2" t="s">
        <v>49</v>
      </c>
      <c r="AF26" s="3">
        <f>MAX(MIN($W26,P$12),MIN($X26,P$13),MIN($Y26,P$14),MIN($Z26,P$15),MIN($AA26,P$16),MIN($AB26,P$17))</f>
        <v>1</v>
      </c>
      <c r="AG26" s="4">
        <f>MAX(MIN($W26,Q$12),MIN($X26,Q$13),MIN($Y26,Q$14),MIN($Z26,Q$15),MIN($AA26,Q$16),MIN($AB26,Q$17))</f>
        <v>0.9</v>
      </c>
      <c r="AH26" s="4">
        <f>MAX(MIN($W26,R$12),MIN($X26,R$13),MIN($Y26,R$14),MIN($Z26,R$15),MIN($AA26,R$16),MIN($AB26,R$17))</f>
        <v>0.7</v>
      </c>
      <c r="AI26" s="5">
        <f>MAX(MIN($W26,S$12),MIN($X26,S$13),MIN($Y26,S$14),MIN($Z26,S$15),MIN($AA26,S$16),MIN($AB26,S$17))</f>
        <v>0.5</v>
      </c>
    </row>
    <row r="27" spans="2:35" x14ac:dyDescent="0.25">
      <c r="B27" s="48" t="s">
        <v>4</v>
      </c>
      <c r="C27" s="41">
        <f>MAX(C21-F18,0)</f>
        <v>0.20000000000000007</v>
      </c>
      <c r="D27">
        <f>MAX(D21-F19,0)</f>
        <v>0.5</v>
      </c>
      <c r="E27">
        <f>MAX(E21-F20,0)</f>
        <v>0</v>
      </c>
      <c r="F27" s="42">
        <v>0</v>
      </c>
      <c r="H27" s="48" t="s">
        <v>4</v>
      </c>
      <c r="I27" s="41">
        <f>MAX(I21-L18,0)</f>
        <v>0</v>
      </c>
      <c r="J27">
        <f>MAX(J21-L19,0)</f>
        <v>0</v>
      </c>
      <c r="K27">
        <f>MAX(K21-L20,0)</f>
        <v>0</v>
      </c>
      <c r="L27" s="42">
        <v>0</v>
      </c>
      <c r="W27" s="6">
        <f>MAX(MIN(P21,$P$3),MIN(Q21,$P$4),MIN(R21,$P$5),MIN(S21,$P$6),MIN(T21,$P$7),MIN(U21,$P$8))</f>
        <v>0.7</v>
      </c>
      <c r="X27" s="2">
        <f>MAX(MIN(P21,$Q$3),MIN(Q21,$Q$4),MIN(R21,$Q$5),MIN(S21,$Q$6),MIN(T21,$Q$7),MIN(U21,$Q$8))</f>
        <v>0.5</v>
      </c>
      <c r="Y27" s="2">
        <f>MAX(MIN(P21,$R$3),MIN(Q21,$R$4),MIN(R21,$R$5),MIN(S21,$R$6),MIN(T21,$R$7),MIN(U21,$R$8))</f>
        <v>0.5</v>
      </c>
      <c r="Z27" s="2">
        <f>MAX(MIN(P21,$S$3),MIN(Q21,$S$4),MIN(R21,$S$5),MIN(S21,$S$6),MIN(T21,$S$7),MIN(U21,$S$8))</f>
        <v>0.7</v>
      </c>
      <c r="AA27" s="2">
        <f>MAX(MIN(P21,$T$3),MIN(Q21,$T$4),MIN(R21,$T$5),MIN(S21,$T$6),MIN(T21,$T$7),MIN(U21,$T$8))</f>
        <v>1</v>
      </c>
      <c r="AB27" s="8">
        <f>MAX(MIN(P21,$U$3),MIN(Q21,$U$4),MIN(R21,$U$5),MIN(S21,$U$6),MIN(T21,U8),MIN(U21,H45))</f>
        <v>1</v>
      </c>
      <c r="AF27" s="6">
        <f>MAX(MIN($W27,P$12),MIN($X27,P$13),MIN($Y27,P$14),MIN($Z27,P$15),MIN($AA27,P$16),MIN($AB27,P$17))</f>
        <v>0.9</v>
      </c>
      <c r="AG27" s="2">
        <f>MAX(MIN($W27,Q$12),MIN($X27,Q$13),MIN($Y27,Q$14),MIN($Z27,Q$15),MIN($AA27,Q$16),MIN($AB27,Q$17))</f>
        <v>1</v>
      </c>
      <c r="AH27" s="2">
        <f>MAX(MIN($W27,R$12),MIN($X27,R$13),MIN($Y27,R$14),MIN($Z27,R$15),MIN($AA27,R$16),MIN($AB27,R$17))</f>
        <v>0.7</v>
      </c>
      <c r="AI27" s="8">
        <f>MAX(MIN($W27,S$12),MIN($X27,S$13),MIN($Y27,S$14),MIN($Z27,S$15),MIN($AA27,S$16),MIN($AB27,S$17))</f>
        <v>0.7</v>
      </c>
    </row>
    <row r="28" spans="2:35" x14ac:dyDescent="0.25">
      <c r="B28" s="2" t="s">
        <v>12</v>
      </c>
      <c r="C28" s="49">
        <f>MAX(C24:C27)</f>
        <v>0.4</v>
      </c>
      <c r="D28" s="46">
        <f>MAX(D24:D27)</f>
        <v>0.5</v>
      </c>
      <c r="E28" s="46">
        <f>MAX(E24:E27)</f>
        <v>0</v>
      </c>
      <c r="F28" s="36">
        <f>MAX(F24:F27)</f>
        <v>0.5</v>
      </c>
      <c r="H28" s="2" t="s">
        <v>12</v>
      </c>
      <c r="I28" s="49">
        <f>MAX(I24:I27)</f>
        <v>0</v>
      </c>
      <c r="J28" s="46">
        <f>MAX(J24:J27)</f>
        <v>0.5</v>
      </c>
      <c r="K28" s="46">
        <f>MAX(K24:K27)</f>
        <v>0.3</v>
      </c>
      <c r="L28" s="36">
        <f>MAX(L24:L27)</f>
        <v>0.60000000000000009</v>
      </c>
      <c r="W28" s="6">
        <f>MAX(MIN(P22,$P$3),MIN(Q22,$P$4),MIN(R22,$P$5),MIN(S22,$P$6),MIN(T22,$P$7),MIN(U22,$P$8))</f>
        <v>0.9</v>
      </c>
      <c r="X28" s="2">
        <f>MAX(MIN(P22,$Q$3),MIN(Q22,$Q$4),MIN(R22,$Q$5),MIN(S22,$Q$6),MIN(T22,$Q$7),MIN(U22,$Q$8))</f>
        <v>1</v>
      </c>
      <c r="Y28" s="2">
        <f>MAX(MIN(P22,$R$3),MIN(Q22,$R$4),MIN(R22,$R$5),MIN(S22,$R$6),MIN(T22,$R$7),MIN(U22,$R$8))</f>
        <v>1</v>
      </c>
      <c r="Z28" s="2">
        <f>MAX(MIN(P22,$S$3),MIN(Q22,$S$4),MIN(R22,$S$5),MIN(S22,$S$6),MIN(T22,$S$7),MIN(U22,$S$8))</f>
        <v>0.8</v>
      </c>
      <c r="AA28" s="2">
        <f>MAX(MIN(P22,$T$3),MIN(Q22,$T$4),MIN(R22,$T$5),MIN(S22,$T$6),MIN(T22,$T$7),MIN(U22,$T$8))</f>
        <v>0.9</v>
      </c>
      <c r="AB28" s="8">
        <f>MAX(MIN(P22,$U$3),MIN(Q22,$U$4),MIN(R22,$U$5),MIN(S22,$U$6),MIN(T22,H45),MIN(U22,U11))</f>
        <v>0.8</v>
      </c>
      <c r="AF28" s="6">
        <f>MAX(MIN($W28,P$12),MIN($X28,P$13),MIN($Y28,P$14),MIN($Z28,P$15),MIN($AA28,P$16),MIN($AB28,P$17))</f>
        <v>0.9</v>
      </c>
      <c r="AG28" s="2">
        <f>MAX(MIN($W28,Q$12),MIN($X28,Q$13),MIN($Y28,Q$14),MIN($Z28,Q$15),MIN($AA28,Q$16),MIN($AB28,Q$17))</f>
        <v>0.9</v>
      </c>
      <c r="AH28" s="2">
        <f>MAX(MIN($W28,R$12),MIN($X28,R$13),MIN($Y28,R$14),MIN($Z28,R$15),MIN($AA28,R$16),MIN($AB28,R$17))</f>
        <v>1</v>
      </c>
      <c r="AI28" s="8">
        <f>MAX(MIN($W28,S$12),MIN($X28,S$13),MIN($Y28,S$14),MIN($Z28,S$15),MIN($AA28,S$16),MIN($AB28,S$17))</f>
        <v>0.79999999999999993</v>
      </c>
    </row>
    <row r="29" spans="2:35" x14ac:dyDescent="0.25">
      <c r="B29" s="2" t="s">
        <v>13</v>
      </c>
      <c r="C29" s="49">
        <f>1-C28</f>
        <v>0.6</v>
      </c>
      <c r="D29" s="46">
        <f>1-D28</f>
        <v>0.5</v>
      </c>
      <c r="E29" s="46">
        <f>1-E28</f>
        <v>1</v>
      </c>
      <c r="F29" s="36">
        <f>1-F28</f>
        <v>0.5</v>
      </c>
      <c r="H29" s="2" t="s">
        <v>13</v>
      </c>
      <c r="I29" s="49">
        <f>1-I28</f>
        <v>1</v>
      </c>
      <c r="J29" s="46">
        <f>1-J28</f>
        <v>0.5</v>
      </c>
      <c r="K29" s="46">
        <f>1-K28</f>
        <v>0.7</v>
      </c>
      <c r="L29" s="36">
        <f>1-L28</f>
        <v>0.39999999999999991</v>
      </c>
      <c r="W29" s="9">
        <f>MAX(MIN(P23,$P$3),MIN(Q23,$P$4),MIN(R23,$P$5),MIN(S23,$P$6),MIN(T23,$P$7),MIN(U23,$P$8))</f>
        <v>0.79999999999999993</v>
      </c>
      <c r="X29" s="10">
        <f>MAX(MIN(P23,$Q$3),MIN(Q23,$Q$4),MIN(R23,$Q$5),MIN(S23,$Q$6),MIN(T23,$Q$7),MIN(U23,$Q$8))</f>
        <v>0.5</v>
      </c>
      <c r="Y29" s="10">
        <f>MAX(MIN(P23,$R$3),MIN(Q23,$R$4),MIN(R23,$R$5),MIN(S23,$R$6),MIN(T23,$R$7),MIN(U23,$R$8))</f>
        <v>0.5</v>
      </c>
      <c r="Z29" s="10">
        <f>MAX(MIN(P23,$S$3),MIN(Q23,$S$4),MIN(R23,$S$5),MIN(S23,$S$6),MIN(T23,$S$7),MIN(U23,$S$8))</f>
        <v>0.79999999999999993</v>
      </c>
      <c r="AA29" s="10">
        <f>MAX(MIN(P23,$T$3),MIN(Q23,$T$4),MIN(R23,$T$5),MIN(S23,$T$6),MIN(T23,$T$7),MIN(U23,$T$8))</f>
        <v>0.79999999999999993</v>
      </c>
      <c r="AB29" s="11">
        <f>MAX(MIN(P23,$U$3),MIN(Q23,$U$4),MIN(R23,$U$5),MIN(S23,$U$6),MIN(T23,U11),MIN(U23,U12))</f>
        <v>0.5</v>
      </c>
      <c r="AF29" s="9">
        <f>MAX(MIN($W29,P$12),MIN($X29,P$13),MIN($Y29,P$14),MIN($Z29,P$15),MIN($AA29,P$16),MIN($AB29,P$17))</f>
        <v>0.79999999999999993</v>
      </c>
      <c r="AG29" s="10">
        <f>MAX(MIN($W29,Q$12),MIN($X29,Q$13),MIN($Y29,Q$14),MIN($Z29,Q$15),MIN($AA29,Q$16),MIN($AB29,Q$17))</f>
        <v>0.79999999999999993</v>
      </c>
      <c r="AH29" s="10">
        <f>MAX(MIN($W29,R$12),MIN($X29,R$13),MIN($Y29,R$14),MIN($Z29,R$15),MIN($AA29,R$16),MIN($AB29,R$17))</f>
        <v>0.79999999999999993</v>
      </c>
      <c r="AI29" s="11">
        <f>MAX(MIN($W29,S$12),MIN($X29,S$13),MIN($Y29,S$14),MIN($Z29,S$15),MIN($AA29,S$16),MIN($AB29,S$17))</f>
        <v>0.79999999999999993</v>
      </c>
    </row>
    <row r="32" spans="2:35" x14ac:dyDescent="0.25">
      <c r="B32" s="35" t="s">
        <v>8</v>
      </c>
      <c r="C32" s="46" t="s">
        <v>1</v>
      </c>
      <c r="D32" s="46" t="s">
        <v>2</v>
      </c>
      <c r="E32" s="46" t="s">
        <v>3</v>
      </c>
      <c r="F32" s="36" t="s">
        <v>4</v>
      </c>
      <c r="H32" s="35" t="s">
        <v>9</v>
      </c>
      <c r="I32" s="46" t="s">
        <v>1</v>
      </c>
      <c r="J32" s="46" t="s">
        <v>2</v>
      </c>
      <c r="K32" s="46" t="s">
        <v>3</v>
      </c>
      <c r="L32" s="36" t="s">
        <v>4</v>
      </c>
    </row>
    <row r="33" spans="2:21" x14ac:dyDescent="0.25">
      <c r="B33" s="47" t="s">
        <v>1</v>
      </c>
      <c r="C33" s="3">
        <v>1</v>
      </c>
      <c r="D33" s="4">
        <v>0.9</v>
      </c>
      <c r="E33" s="4">
        <v>1</v>
      </c>
      <c r="F33" s="5">
        <v>0.7</v>
      </c>
      <c r="H33" s="47" t="s">
        <v>1</v>
      </c>
      <c r="I33" s="3">
        <v>1</v>
      </c>
      <c r="J33" s="4">
        <v>0.2</v>
      </c>
      <c r="K33" s="4">
        <v>1</v>
      </c>
      <c r="L33" s="5">
        <v>0.2</v>
      </c>
    </row>
    <row r="34" spans="2:21" ht="17.25" x14ac:dyDescent="0.25">
      <c r="B34" s="47" t="s">
        <v>2</v>
      </c>
      <c r="C34" s="6">
        <v>1</v>
      </c>
      <c r="D34" s="2">
        <v>1</v>
      </c>
      <c r="E34" s="2">
        <v>0.8</v>
      </c>
      <c r="F34" s="8">
        <v>1</v>
      </c>
      <c r="H34" s="47" t="s">
        <v>2</v>
      </c>
      <c r="I34" s="6">
        <v>1</v>
      </c>
      <c r="J34" s="2">
        <v>1</v>
      </c>
      <c r="K34" s="2">
        <v>0.3</v>
      </c>
      <c r="L34" s="8">
        <v>0.9</v>
      </c>
      <c r="P34" t="s">
        <v>52</v>
      </c>
      <c r="Q34" t="s">
        <v>49</v>
      </c>
      <c r="R34" s="38">
        <v>0</v>
      </c>
      <c r="S34" s="39">
        <f>MAX(AG26-AF27,0)</f>
        <v>0</v>
      </c>
      <c r="T34" s="39">
        <f>MAX(AH26-AF28,0)</f>
        <v>0</v>
      </c>
      <c r="U34" s="40">
        <f>MAX(AI26-AF29,0)</f>
        <v>0</v>
      </c>
    </row>
    <row r="35" spans="2:21" x14ac:dyDescent="0.25">
      <c r="B35" s="47" t="s">
        <v>3</v>
      </c>
      <c r="C35" s="6">
        <v>0.2</v>
      </c>
      <c r="D35" s="2">
        <v>0.5</v>
      </c>
      <c r="E35" s="2">
        <v>1</v>
      </c>
      <c r="F35" s="8">
        <v>0.7</v>
      </c>
      <c r="H35" s="47" t="s">
        <v>3</v>
      </c>
      <c r="I35" s="6">
        <v>0.2</v>
      </c>
      <c r="J35" s="2">
        <v>1</v>
      </c>
      <c r="K35" s="2">
        <v>1</v>
      </c>
      <c r="L35" s="8">
        <v>0.6</v>
      </c>
      <c r="R35" s="41">
        <f>MAX(AF27-AG26,0)</f>
        <v>0</v>
      </c>
      <c r="S35">
        <v>0</v>
      </c>
      <c r="T35">
        <f>MAX(AH27-AG28,0)</f>
        <v>0</v>
      </c>
      <c r="U35" s="42">
        <f>MAX(AI27-AG29,0)</f>
        <v>0</v>
      </c>
    </row>
    <row r="36" spans="2:21" x14ac:dyDescent="0.25">
      <c r="B36" s="48" t="s">
        <v>4</v>
      </c>
      <c r="C36" s="9">
        <v>0.5</v>
      </c>
      <c r="D36" s="10">
        <v>0.4</v>
      </c>
      <c r="E36" s="10">
        <v>0</v>
      </c>
      <c r="F36" s="11">
        <v>1</v>
      </c>
      <c r="H36" s="48" t="s">
        <v>4</v>
      </c>
      <c r="I36" s="9">
        <v>0.8</v>
      </c>
      <c r="J36" s="10">
        <v>0.4</v>
      </c>
      <c r="K36" s="10">
        <v>1</v>
      </c>
      <c r="L36" s="11">
        <v>1</v>
      </c>
      <c r="R36" s="41">
        <f>MAX(AF28-AH26,0)</f>
        <v>0.20000000000000007</v>
      </c>
      <c r="S36">
        <f>MAX(AG28-AH27,0)</f>
        <v>0.20000000000000007</v>
      </c>
      <c r="T36">
        <v>0</v>
      </c>
      <c r="U36" s="42">
        <f>MAX(AI28-AH29,0)</f>
        <v>0</v>
      </c>
    </row>
    <row r="37" spans="2:21" x14ac:dyDescent="0.25">
      <c r="R37" s="41">
        <f>MAX(AF29-AI26,0)</f>
        <v>0.29999999999999993</v>
      </c>
      <c r="S37">
        <f>MAX(AG29-AI27,0)</f>
        <v>9.9999999999999978E-2</v>
      </c>
      <c r="T37">
        <f>MAX(AH29-AI28,0)</f>
        <v>0</v>
      </c>
      <c r="U37" s="42">
        <v>0</v>
      </c>
    </row>
    <row r="38" spans="2:21" x14ac:dyDescent="0.25">
      <c r="B38" s="35" t="s">
        <v>8</v>
      </c>
      <c r="C38" s="46" t="s">
        <v>1</v>
      </c>
      <c r="D38" s="46" t="s">
        <v>2</v>
      </c>
      <c r="E38" s="46" t="s">
        <v>3</v>
      </c>
      <c r="F38" s="36" t="s">
        <v>4</v>
      </c>
      <c r="H38" s="35" t="s">
        <v>9</v>
      </c>
      <c r="I38" s="46" t="s">
        <v>1</v>
      </c>
      <c r="J38" s="46" t="s">
        <v>2</v>
      </c>
      <c r="K38" s="46" t="s">
        <v>3</v>
      </c>
      <c r="L38" s="36" t="s">
        <v>4</v>
      </c>
      <c r="R38" s="49">
        <f>MAX(R34:R37)</f>
        <v>0.29999999999999993</v>
      </c>
      <c r="S38" s="46">
        <f>MAX(S34:S37)</f>
        <v>0.20000000000000007</v>
      </c>
      <c r="T38" s="46">
        <f>MAX(T34:T37)</f>
        <v>0</v>
      </c>
      <c r="U38" s="36">
        <f>MAX(U34:U37)</f>
        <v>0</v>
      </c>
    </row>
    <row r="39" spans="2:21" x14ac:dyDescent="0.25">
      <c r="B39" s="47" t="s">
        <v>1</v>
      </c>
      <c r="C39" s="38">
        <v>0</v>
      </c>
      <c r="D39" s="39">
        <f>MAX(D33-C34,0)</f>
        <v>0</v>
      </c>
      <c r="E39" s="39">
        <f>MAX(E33-C35,0)</f>
        <v>0.8</v>
      </c>
      <c r="F39" s="40">
        <f>MAX(F33-C36,0)</f>
        <v>0.19999999999999996</v>
      </c>
      <c r="H39" s="47" t="s">
        <v>1</v>
      </c>
      <c r="I39" s="38">
        <v>0</v>
      </c>
      <c r="J39" s="39">
        <f>MAX(J33-I34,0)</f>
        <v>0</v>
      </c>
      <c r="K39" s="39">
        <f>MAX(K33-I35,0)</f>
        <v>0.8</v>
      </c>
      <c r="L39" s="40">
        <f>MAX(L33-I36,0)</f>
        <v>0</v>
      </c>
    </row>
    <row r="40" spans="2:21" x14ac:dyDescent="0.25">
      <c r="B40" s="47" t="s">
        <v>2</v>
      </c>
      <c r="C40" s="41">
        <f>MAX(C34-D33,0)</f>
        <v>9.9999999999999978E-2</v>
      </c>
      <c r="D40">
        <v>0</v>
      </c>
      <c r="E40">
        <f>MAX(E34-D35,0)</f>
        <v>0.30000000000000004</v>
      </c>
      <c r="F40" s="42">
        <f>MAX(F34-D36,0)</f>
        <v>0.6</v>
      </c>
      <c r="H40" s="47" t="s">
        <v>2</v>
      </c>
      <c r="I40" s="41">
        <f>MAX(I34-J33,0)</f>
        <v>0.8</v>
      </c>
      <c r="J40">
        <v>0</v>
      </c>
      <c r="K40">
        <f>MAX(K34-J35,0)</f>
        <v>0</v>
      </c>
      <c r="L40" s="42">
        <f>MAX(L34-J36,0)</f>
        <v>0.5</v>
      </c>
      <c r="R40" t="s">
        <v>55</v>
      </c>
      <c r="S40" t="s">
        <v>56</v>
      </c>
      <c r="T40" t="s">
        <v>57</v>
      </c>
      <c r="U40" t="s">
        <v>58</v>
      </c>
    </row>
    <row r="41" spans="2:21" ht="18.75" x14ac:dyDescent="0.35">
      <c r="B41" s="47" t="s">
        <v>3</v>
      </c>
      <c r="C41" s="41">
        <f>MAX(C35-E33,0)</f>
        <v>0</v>
      </c>
      <c r="D41">
        <f>MAX(D35-E34,0)</f>
        <v>0</v>
      </c>
      <c r="E41">
        <v>0</v>
      </c>
      <c r="F41" s="42">
        <f>MAX(F35-E36,0)</f>
        <v>0.7</v>
      </c>
      <c r="H41" s="47" t="s">
        <v>3</v>
      </c>
      <c r="I41" s="41">
        <f>MAX(I35-K33,0)</f>
        <v>0</v>
      </c>
      <c r="J41">
        <f>MAX(J35-K34,0)</f>
        <v>0.7</v>
      </c>
      <c r="K41">
        <v>0</v>
      </c>
      <c r="L41" s="42">
        <f>MAX(L35-K36,0)</f>
        <v>0</v>
      </c>
      <c r="Q41" t="s">
        <v>53</v>
      </c>
      <c r="R41" s="49">
        <f>1-R38</f>
        <v>0.70000000000000007</v>
      </c>
      <c r="S41" s="46">
        <f>1-S38</f>
        <v>0.79999999999999993</v>
      </c>
      <c r="T41" s="46">
        <f>1-T38</f>
        <v>1</v>
      </c>
      <c r="U41" s="36">
        <f>1-U38</f>
        <v>1</v>
      </c>
    </row>
    <row r="42" spans="2:21" x14ac:dyDescent="0.25">
      <c r="B42" s="48" t="s">
        <v>4</v>
      </c>
      <c r="C42" s="41">
        <f>MAX(C36-F33,0)</f>
        <v>0</v>
      </c>
      <c r="D42">
        <f>MAX(D36-F34,0)</f>
        <v>0</v>
      </c>
      <c r="E42">
        <f>MAX(E36-F35,0)</f>
        <v>0</v>
      </c>
      <c r="F42" s="42">
        <v>0</v>
      </c>
      <c r="H42" s="48" t="s">
        <v>4</v>
      </c>
      <c r="I42" s="41">
        <f>MAX(I36-L33,0)</f>
        <v>0.60000000000000009</v>
      </c>
      <c r="J42">
        <f>MAX(J36-L34,0)</f>
        <v>0</v>
      </c>
      <c r="K42">
        <f>MAX(K36-L35,0)</f>
        <v>0.4</v>
      </c>
      <c r="L42" s="42">
        <v>0</v>
      </c>
      <c r="R42" s="49">
        <f>AF26</f>
        <v>1</v>
      </c>
      <c r="S42" s="46">
        <f>AG27</f>
        <v>1</v>
      </c>
      <c r="T42" s="46">
        <f>AH28</f>
        <v>1</v>
      </c>
      <c r="U42" s="36">
        <f>AI29</f>
        <v>0.79999999999999993</v>
      </c>
    </row>
    <row r="43" spans="2:21" x14ac:dyDescent="0.25">
      <c r="B43" s="2" t="s">
        <v>12</v>
      </c>
      <c r="C43" s="49">
        <f>MAX(C39:C42)</f>
        <v>9.9999999999999978E-2</v>
      </c>
      <c r="D43" s="46">
        <f>MAX(D39:D42)</f>
        <v>0</v>
      </c>
      <c r="E43" s="46">
        <f>MAX(E39:E42)</f>
        <v>0.8</v>
      </c>
      <c r="F43" s="36">
        <f>MAX(F39:F42)</f>
        <v>0.7</v>
      </c>
      <c r="H43" s="2" t="s">
        <v>12</v>
      </c>
      <c r="I43" s="49">
        <f>MAX(I39:I42)</f>
        <v>0.8</v>
      </c>
      <c r="J43" s="46">
        <f>MAX(J39:J42)</f>
        <v>0.7</v>
      </c>
      <c r="K43" s="46">
        <f>MAX(K39:K42)</f>
        <v>0.8</v>
      </c>
      <c r="L43" s="36">
        <f>MAX(L39:L42)</f>
        <v>0.5</v>
      </c>
      <c r="R43">
        <f>MIN(R41:R42)</f>
        <v>0.70000000000000007</v>
      </c>
      <c r="S43">
        <f>MIN(S41:S42)</f>
        <v>0.79999999999999993</v>
      </c>
      <c r="T43" s="45">
        <f>MIN(T41:T42)</f>
        <v>1</v>
      </c>
      <c r="U43">
        <f>MIN(U41:U42)</f>
        <v>0.79999999999999993</v>
      </c>
    </row>
    <row r="44" spans="2:21" x14ac:dyDescent="0.25">
      <c r="B44" s="2" t="s">
        <v>13</v>
      </c>
      <c r="C44" s="49">
        <f>1-C43</f>
        <v>0.9</v>
      </c>
      <c r="D44" s="46">
        <f>1-D43</f>
        <v>1</v>
      </c>
      <c r="E44" s="46">
        <f>1-E43</f>
        <v>0.19999999999999996</v>
      </c>
      <c r="F44" s="36">
        <f>1-F43</f>
        <v>0.30000000000000004</v>
      </c>
      <c r="H44" s="2" t="s">
        <v>13</v>
      </c>
      <c r="I44" s="49">
        <f>1-I43</f>
        <v>0.19999999999999996</v>
      </c>
      <c r="J44" s="46">
        <f>1-J43</f>
        <v>0.30000000000000004</v>
      </c>
      <c r="K44" s="46">
        <f>1-K43</f>
        <v>0.19999999999999996</v>
      </c>
      <c r="L44" s="36">
        <f>1-L43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Власов</dc:creator>
  <cp:lastModifiedBy>Дмитрий Власов</cp:lastModifiedBy>
  <dcterms:created xsi:type="dcterms:W3CDTF">2015-06-05T18:19:34Z</dcterms:created>
  <dcterms:modified xsi:type="dcterms:W3CDTF">2025-04-24T07:38:40Z</dcterms:modified>
</cp:coreProperties>
</file>