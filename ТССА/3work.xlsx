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4"/>
  <workbookPr/>
  <mc:AlternateContent xmlns:mc="http://schemas.openxmlformats.org/markup-compatibility/2006">
    <mc:Choice Requires="x15">
      <x15ac:absPath xmlns:x15ac="http://schemas.microsoft.com/office/spreadsheetml/2010/11/ac" url="C:\Users\дом\Desktop\"/>
    </mc:Choice>
  </mc:AlternateContent>
  <xr:revisionPtr revIDLastSave="0" documentId="11_14FA5F16C45910D31FD753356101F11FBD136798" xr6:coauthVersionLast="47" xr6:coauthVersionMax="47" xr10:uidLastSave="{00000000-0000-0000-0000-000000000000}"/>
  <bookViews>
    <workbookView xWindow="0" yWindow="0" windowWidth="28800" windowHeight="12435" xr2:uid="{00000000-000D-0000-FFFF-FFFF00000000}"/>
  </bookViews>
  <sheets>
    <sheet name="3" sheetId="1" r:id="rId1"/>
  </sheets>
  <calcPr calcId="0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V80" i="1" l="1"/>
  <c r="Q90" i="1" s="1"/>
  <c r="V81" i="1"/>
  <c r="V82" i="1"/>
  <c r="V83" i="1"/>
  <c r="V84" i="1"/>
  <c r="V85" i="1"/>
  <c r="V79" i="1"/>
  <c r="AB68" i="1"/>
  <c r="AB69" i="1"/>
  <c r="AB70" i="1"/>
  <c r="AB71" i="1"/>
  <c r="AB72" i="1"/>
  <c r="AB73" i="1"/>
  <c r="AB67" i="1"/>
  <c r="Z74" i="1"/>
  <c r="Q93" i="1"/>
  <c r="R82" i="1"/>
  <c r="R83" i="1"/>
  <c r="R84" i="1"/>
  <c r="R81" i="1"/>
  <c r="Q82" i="1"/>
  <c r="Q83" i="1"/>
  <c r="Q84" i="1"/>
  <c r="Q81" i="1"/>
  <c r="P82" i="1"/>
  <c r="P83" i="1"/>
  <c r="P84" i="1"/>
  <c r="P81" i="1"/>
  <c r="O82" i="1"/>
  <c r="O83" i="1"/>
  <c r="O84" i="1"/>
  <c r="O81" i="1"/>
  <c r="N82" i="1"/>
  <c r="N83" i="1"/>
  <c r="N84" i="1"/>
  <c r="N81" i="1"/>
  <c r="M82" i="1"/>
  <c r="M83" i="1"/>
  <c r="M84" i="1"/>
  <c r="M81" i="1"/>
  <c r="L82" i="1"/>
  <c r="L83" i="1"/>
  <c r="L84" i="1"/>
  <c r="L81" i="1"/>
  <c r="D112" i="1"/>
  <c r="D129" i="1"/>
  <c r="D128" i="1"/>
  <c r="D127" i="1"/>
  <c r="D126" i="1"/>
  <c r="D121" i="1"/>
  <c r="D120" i="1"/>
  <c r="D122" i="1"/>
  <c r="D119" i="1"/>
  <c r="D113" i="1"/>
  <c r="D114" i="1"/>
  <c r="D115" i="1"/>
  <c r="D106" i="1"/>
  <c r="D107" i="1"/>
  <c r="D108" i="1"/>
  <c r="D105" i="1"/>
  <c r="C108" i="1"/>
  <c r="C107" i="1"/>
  <c r="C106" i="1"/>
  <c r="C105" i="1"/>
  <c r="C101" i="1"/>
  <c r="C100" i="1"/>
  <c r="C99" i="1"/>
  <c r="C98" i="1"/>
  <c r="C116" i="1"/>
  <c r="D92" i="1"/>
  <c r="D93" i="1"/>
  <c r="D94" i="1"/>
  <c r="D91" i="1"/>
  <c r="C95" i="1"/>
  <c r="D85" i="1"/>
  <c r="D86" i="1"/>
  <c r="D87" i="1"/>
  <c r="D84" i="1"/>
  <c r="C88" i="1"/>
  <c r="C80" i="1"/>
  <c r="C79" i="1"/>
  <c r="Z73" i="1"/>
  <c r="Z72" i="1"/>
  <c r="Z71" i="1"/>
  <c r="Z70" i="1"/>
  <c r="Z68" i="1"/>
  <c r="Z69" i="1"/>
  <c r="Z67" i="1"/>
  <c r="V73" i="1"/>
  <c r="V72" i="1"/>
  <c r="U71" i="1"/>
  <c r="U70" i="1"/>
  <c r="V61" i="1"/>
  <c r="T67" i="1"/>
  <c r="T68" i="1"/>
  <c r="T69" i="1"/>
  <c r="AA61" i="1"/>
  <c r="AA62" i="1"/>
  <c r="AA60" i="1"/>
  <c r="W62" i="1"/>
  <c r="U60" i="1"/>
  <c r="Q65" i="1"/>
  <c r="Q64" i="1"/>
  <c r="P63" i="1"/>
  <c r="P62" i="1"/>
  <c r="O60" i="1"/>
  <c r="O61" i="1"/>
  <c r="O59" i="1"/>
  <c r="C65" i="1"/>
  <c r="E65" i="1" s="1"/>
  <c r="D64" i="1"/>
  <c r="E64" i="1"/>
  <c r="F59" i="1"/>
  <c r="F58" i="1"/>
  <c r="E60" i="1"/>
  <c r="E59" i="1"/>
  <c r="E58" i="1"/>
  <c r="C59" i="1"/>
  <c r="D48" i="1"/>
  <c r="T48" i="1" s="1"/>
  <c r="D46" i="1"/>
  <c r="T46" i="1" s="1"/>
  <c r="T47" i="1"/>
  <c r="S48" i="1"/>
  <c r="S47" i="1"/>
  <c r="S46" i="1"/>
  <c r="O54" i="1"/>
  <c r="U48" i="1"/>
  <c r="U47" i="1"/>
  <c r="U46" i="1"/>
  <c r="F47" i="1"/>
  <c r="F48" i="1"/>
  <c r="F46" i="1"/>
  <c r="C48" i="1"/>
  <c r="O39" i="1"/>
  <c r="Y32" i="1"/>
  <c r="W32" i="1"/>
  <c r="W33" i="1"/>
  <c r="W31" i="1"/>
  <c r="U33" i="1"/>
  <c r="U32" i="1"/>
  <c r="U31" i="1"/>
  <c r="T33" i="1"/>
  <c r="T32" i="1"/>
  <c r="T31" i="1"/>
  <c r="S33" i="1"/>
  <c r="S32" i="1"/>
  <c r="S31" i="1"/>
  <c r="G32" i="1"/>
  <c r="G33" i="1"/>
  <c r="G31" i="1"/>
  <c r="F34" i="1"/>
  <c r="F32" i="1"/>
  <c r="F33" i="1"/>
  <c r="F31" i="1"/>
  <c r="C33" i="1"/>
  <c r="E31" i="1"/>
  <c r="E32" i="1"/>
  <c r="C32" i="1"/>
  <c r="Q91" i="1" l="1"/>
  <c r="Q92" i="1"/>
  <c r="C109" i="1"/>
  <c r="C102" i="1"/>
  <c r="D99" i="1" s="1"/>
  <c r="E66" i="1"/>
  <c r="F65" i="1" s="1"/>
  <c r="F49" i="1"/>
  <c r="G47" i="1" s="1"/>
  <c r="W47" i="1" s="1"/>
  <c r="D98" i="1" l="1"/>
  <c r="D101" i="1"/>
  <c r="D100" i="1"/>
  <c r="F64" i="1"/>
  <c r="G46" i="1"/>
  <c r="W46" i="1" s="1"/>
  <c r="G48" i="1"/>
  <c r="W48" i="1" s="1"/>
  <c r="Y47" i="1" l="1"/>
  <c r="S51" i="1" s="1"/>
  <c r="Q54" i="1" s="1"/>
</calcChain>
</file>

<file path=xl/sharedStrings.xml><?xml version="1.0" encoding="utf-8"?>
<sst xmlns="http://schemas.openxmlformats.org/spreadsheetml/2006/main" count="191" uniqueCount="60">
  <si>
    <t>Считается, что экономическая и юридическая группа критериев по значимости в 2,3</t>
  </si>
  <si>
    <t>раза превосходят физическую группу критериев. Имеются следующие абсолютные данные:</t>
  </si>
  <si>
    <t xml:space="preserve">Известно, что по критерию «отсутствие износа» иностранная валюта и ценные бумаги имеют равные показатели </t>
  </si>
  <si>
    <t xml:space="preserve">(для сравнения альтернатив использовать метод копирования). </t>
  </si>
  <si>
    <t>По группе юридических критериев разработать стандарты и использовать их при сравнении альтернатив</t>
  </si>
  <si>
    <t>ГПК1</t>
  </si>
  <si>
    <t>цель</t>
  </si>
  <si>
    <t>эконом</t>
  </si>
  <si>
    <t>физ</t>
  </si>
  <si>
    <t>юр</t>
  </si>
  <si>
    <t>лп</t>
  </si>
  <si>
    <t>нлпц</t>
  </si>
  <si>
    <t>A</t>
  </si>
  <si>
    <t>НЛПц</t>
  </si>
  <si>
    <t>e</t>
  </si>
  <si>
    <t>max</t>
  </si>
  <si>
    <t>=</t>
  </si>
  <si>
    <t>*</t>
  </si>
  <si>
    <t>ио</t>
  </si>
  <si>
    <t>-</t>
  </si>
  <si>
    <t>n</t>
  </si>
  <si>
    <t>oo</t>
  </si>
  <si>
    <t>М(ио)</t>
  </si>
  <si>
    <t>ГПК2</t>
  </si>
  <si>
    <t>экон</t>
  </si>
  <si>
    <t>коэфиц</t>
  </si>
  <si>
    <t>возврат</t>
  </si>
  <si>
    <t>риск</t>
  </si>
  <si>
    <t>нлпэ</t>
  </si>
  <si>
    <t>коэф</t>
  </si>
  <si>
    <t>износ</t>
  </si>
  <si>
    <t>хранение</t>
  </si>
  <si>
    <t>нлпф</t>
  </si>
  <si>
    <t>M1</t>
  </si>
  <si>
    <t>L</t>
  </si>
  <si>
    <t>закон</t>
  </si>
  <si>
    <t>гарант</t>
  </si>
  <si>
    <t>нлпю</t>
  </si>
  <si>
    <t>Нормирование</t>
  </si>
  <si>
    <t>ГПК3</t>
  </si>
  <si>
    <t>HH</t>
  </si>
  <si>
    <t>HM</t>
  </si>
  <si>
    <t>LM</t>
  </si>
  <si>
    <t>LL</t>
  </si>
  <si>
    <t>НЛПк</t>
  </si>
  <si>
    <t>НЛПв</t>
  </si>
  <si>
    <t>НЛПр</t>
  </si>
  <si>
    <t>НЛПи</t>
  </si>
  <si>
    <t>НЛПх</t>
  </si>
  <si>
    <t>НЛПз</t>
  </si>
  <si>
    <t>НЛПг</t>
  </si>
  <si>
    <t>M2</t>
  </si>
  <si>
    <t>цифры</t>
  </si>
  <si>
    <t>Валюта</t>
  </si>
  <si>
    <t>Металл</t>
  </si>
  <si>
    <t>Бумаги</t>
  </si>
  <si>
    <t>Недвиж</t>
  </si>
  <si>
    <t>ГПА</t>
  </si>
  <si>
    <t>М2</t>
  </si>
  <si>
    <t>станд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</si>
</sst>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8"/>
      <color theme="3"/>
      <name val="Calibri Light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65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3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0">
    <xf numFmtId="0" fontId="0" fillId="0" borderId="0" xfId="0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0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0" fillId="0" borderId="19" xfId="0" applyBorder="1"/>
    <xf numFmtId="0" fontId="0" fillId="0" borderId="20" xfId="0" applyBorder="1"/>
    <xf numFmtId="0" fontId="0" fillId="0" borderId="21" xfId="0" applyBorder="1"/>
    <xf numFmtId="0" fontId="0" fillId="0" borderId="10" xfId="0" applyBorder="1"/>
    <xf numFmtId="0" fontId="0" fillId="0" borderId="22" xfId="0" applyBorder="1"/>
    <xf numFmtId="0" fontId="0" fillId="0" borderId="23" xfId="0" applyBorder="1"/>
    <xf numFmtId="0" fontId="0" fillId="0" borderId="24" xfId="0" applyBorder="1"/>
    <xf numFmtId="0" fontId="0" fillId="0" borderId="17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25" xfId="0" applyBorder="1"/>
    <xf numFmtId="0" fontId="0" fillId="0" borderId="26" xfId="0" applyBorder="1"/>
    <xf numFmtId="0" fontId="0" fillId="0" borderId="27" xfId="0" applyBorder="1"/>
    <xf numFmtId="0" fontId="0" fillId="0" borderId="28" xfId="0" applyBorder="1"/>
    <xf numFmtId="0" fontId="0" fillId="0" borderId="29" xfId="0" applyBorder="1"/>
    <xf numFmtId="0" fontId="0" fillId="0" borderId="30" xfId="0" applyBorder="1"/>
    <xf numFmtId="0" fontId="0" fillId="0" borderId="31" xfId="0" applyBorder="1"/>
    <xf numFmtId="0" fontId="0" fillId="0" borderId="32" xfId="0" applyBorder="1"/>
    <xf numFmtId="0" fontId="0" fillId="0" borderId="12" xfId="0" applyBorder="1" applyAlignment="1">
      <alignment horizontal="right"/>
    </xf>
    <xf numFmtId="0" fontId="0" fillId="0" borderId="13" xfId="0" applyBorder="1" applyAlignment="1">
      <alignment horizontal="right"/>
    </xf>
    <xf numFmtId="0" fontId="0" fillId="0" borderId="0" xfId="0" applyBorder="1" applyAlignment="1">
      <alignment horizontal="right"/>
    </xf>
    <xf numFmtId="0" fontId="0" fillId="0" borderId="15" xfId="0" applyBorder="1" applyAlignment="1">
      <alignment horizontal="right"/>
    </xf>
    <xf numFmtId="0" fontId="0" fillId="0" borderId="0" xfId="0" applyFill="1" applyBorder="1" applyAlignment="1">
      <alignment horizontal="right"/>
    </xf>
    <xf numFmtId="0" fontId="0" fillId="0" borderId="15" xfId="0" applyFill="1" applyBorder="1" applyAlignment="1">
      <alignment horizontal="right"/>
    </xf>
    <xf numFmtId="0" fontId="0" fillId="0" borderId="17" xfId="0" applyBorder="1" applyAlignment="1">
      <alignment horizontal="right"/>
    </xf>
    <xf numFmtId="0" fontId="0" fillId="0" borderId="18" xfId="0" applyBorder="1" applyAlignment="1">
      <alignment horizontal="right"/>
    </xf>
    <xf numFmtId="0" fontId="0" fillId="0" borderId="14" xfId="0" applyBorder="1" applyAlignment="1">
      <alignment horizontal="right"/>
    </xf>
    <xf numFmtId="0" fontId="0" fillId="0" borderId="0" xfId="0" applyFill="1" applyBorder="1"/>
    <xf numFmtId="0" fontId="0" fillId="0" borderId="0" xfId="0" applyAlignment="1">
      <alignment horizontal="center"/>
    </xf>
  </cellXfs>
  <cellStyles count="42">
    <cellStyle name="20% — акцент1" xfId="19" builtinId="30" customBuiltin="1"/>
    <cellStyle name="20% — акцент2" xfId="23" builtinId="34" customBuiltin="1"/>
    <cellStyle name="20% — акцент3" xfId="27" builtinId="38" customBuiltin="1"/>
    <cellStyle name="20% — акцент4" xfId="31" builtinId="42" customBuiltin="1"/>
    <cellStyle name="20% — акцент5" xfId="35" builtinId="46" customBuiltin="1"/>
    <cellStyle name="20% — акцент6" xfId="39" builtinId="50" customBuiltin="1"/>
    <cellStyle name="40% — акцент1" xfId="20" builtinId="31" customBuiltin="1"/>
    <cellStyle name="40% — акцент2" xfId="24" builtinId="35" customBuiltin="1"/>
    <cellStyle name="40% — акцент3" xfId="28" builtinId="39" customBuiltin="1"/>
    <cellStyle name="40% — акцент4" xfId="32" builtinId="43" customBuiltin="1"/>
    <cellStyle name="40% — акцент5" xfId="36" builtinId="47" customBuiltin="1"/>
    <cellStyle name="40% — акцент6" xfId="40" builtinId="51" customBuiltin="1"/>
    <cellStyle name="60% — акцент1" xfId="21" builtinId="32" customBuiltin="1"/>
    <cellStyle name="60% — акцент2" xfId="25" builtinId="36" customBuiltin="1"/>
    <cellStyle name="60% — акцент3" xfId="29" builtinId="40" customBuiltin="1"/>
    <cellStyle name="60% — акцент4" xfId="33" builtinId="44" customBuiltin="1"/>
    <cellStyle name="60% — акцент5" xfId="37" builtinId="48" customBuiltin="1"/>
    <cellStyle name="60% —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10</xdr:col>
      <xdr:colOff>200945</xdr:colOff>
      <xdr:row>22</xdr:row>
      <xdr:rowOff>162533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6592220" cy="4353533"/>
        </a:xfrm>
        <a:prstGeom prst="rect">
          <a:avLst/>
        </a:prstGeom>
      </xdr:spPr>
    </xdr:pic>
    <xdr:clientData/>
  </xdr:twoCellAnchor>
  <xdr:twoCellAnchor editAs="oneCell">
    <xdr:from>
      <xdr:col>11</xdr:col>
      <xdr:colOff>607115</xdr:colOff>
      <xdr:row>3</xdr:row>
      <xdr:rowOff>43898</xdr:rowOff>
    </xdr:from>
    <xdr:to>
      <xdr:col>22</xdr:col>
      <xdr:colOff>347527</xdr:colOff>
      <xdr:row>16</xdr:row>
      <xdr:rowOff>15665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630767" y="615398"/>
          <a:ext cx="6482456" cy="244826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130"/>
  <sheetViews>
    <sheetView tabSelected="1" topLeftCell="A15" zoomScale="40" zoomScaleNormal="40" workbookViewId="0">
      <selection activeCell="W87" sqref="W87"/>
    </sheetView>
  </sheetViews>
  <sheetFormatPr defaultRowHeight="15"/>
  <cols>
    <col min="2" max="2" width="9.85546875" bestFit="1" customWidth="1"/>
    <col min="4" max="4" width="9.85546875" bestFit="1" customWidth="1"/>
    <col min="7" max="7" width="12.140625" customWidth="1"/>
    <col min="13" max="13" width="9.140625" customWidth="1"/>
  </cols>
  <sheetData>
    <row r="1" spans="3:13">
      <c r="C1" s="39"/>
      <c r="D1" s="39"/>
      <c r="E1" s="39"/>
      <c r="F1" s="39"/>
      <c r="G1" s="39"/>
      <c r="H1" s="39"/>
    </row>
    <row r="2" spans="3:13">
      <c r="M2" t="s">
        <v>0</v>
      </c>
    </row>
    <row r="3" spans="3:13">
      <c r="M3" t="s">
        <v>1</v>
      </c>
    </row>
    <row r="18" spans="1:25">
      <c r="M18" t="s">
        <v>2</v>
      </c>
    </row>
    <row r="19" spans="1:25">
      <c r="M19" t="s">
        <v>3</v>
      </c>
    </row>
    <row r="20" spans="1:25">
      <c r="M20" t="s">
        <v>4</v>
      </c>
    </row>
    <row r="27" spans="1:25" ht="15.75" thickBot="1"/>
    <row r="28" spans="1:25">
      <c r="A28" s="21"/>
      <c r="B28" s="22"/>
      <c r="C28" s="22"/>
      <c r="D28" s="22"/>
      <c r="E28" s="22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3"/>
    </row>
    <row r="29" spans="1:25">
      <c r="A29" s="24"/>
      <c r="B29" s="5"/>
      <c r="C29" s="5"/>
      <c r="D29" s="5"/>
      <c r="E29" s="5"/>
      <c r="F29" s="5"/>
      <c r="G29" s="5"/>
      <c r="H29" s="5"/>
      <c r="I29" s="5"/>
      <c r="J29" s="5"/>
      <c r="K29" s="20" t="s">
        <v>5</v>
      </c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25"/>
    </row>
    <row r="30" spans="1:25">
      <c r="A30" s="24"/>
      <c r="B30" s="13" t="s">
        <v>6</v>
      </c>
      <c r="C30" s="11" t="s">
        <v>7</v>
      </c>
      <c r="D30" s="11" t="s">
        <v>8</v>
      </c>
      <c r="E30" s="11" t="s">
        <v>9</v>
      </c>
      <c r="F30" s="13" t="s">
        <v>10</v>
      </c>
      <c r="G30" s="12" t="s">
        <v>11</v>
      </c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20" t="s">
        <v>12</v>
      </c>
      <c r="U30" s="5"/>
      <c r="V30" s="5"/>
      <c r="W30" s="20" t="s">
        <v>13</v>
      </c>
      <c r="X30" s="5"/>
      <c r="Y30" s="25"/>
    </row>
    <row r="31" spans="1:25">
      <c r="A31" s="24"/>
      <c r="B31" s="14" t="s">
        <v>7</v>
      </c>
      <c r="C31" s="5">
        <v>1</v>
      </c>
      <c r="D31" s="5">
        <v>2</v>
      </c>
      <c r="E31" s="5">
        <f>2/3</f>
        <v>0.66666666666666663</v>
      </c>
      <c r="F31" s="14">
        <f>GEOMEAN(C31:E31)</f>
        <v>1.1006424162982089</v>
      </c>
      <c r="G31" s="6">
        <f>F31/$F$34</f>
        <v>0.33333333333333331</v>
      </c>
      <c r="H31" s="5"/>
      <c r="I31" s="5"/>
      <c r="J31" s="5"/>
      <c r="K31" s="5"/>
      <c r="L31" s="5"/>
      <c r="M31" s="5"/>
      <c r="N31" s="5"/>
      <c r="O31" s="5"/>
      <c r="P31" s="20" t="s">
        <v>14</v>
      </c>
      <c r="Q31" s="5"/>
      <c r="R31" s="5"/>
      <c r="S31" s="1">
        <f>C31</f>
        <v>1</v>
      </c>
      <c r="T31" s="2">
        <f>D31</f>
        <v>2</v>
      </c>
      <c r="U31" s="3">
        <f>E31</f>
        <v>0.66666666666666663</v>
      </c>
      <c r="V31" s="5"/>
      <c r="W31" s="16">
        <f>G31</f>
        <v>0.33333333333333331</v>
      </c>
      <c r="X31" s="5"/>
      <c r="Y31" s="25"/>
    </row>
    <row r="32" spans="1:25">
      <c r="A32" s="24"/>
      <c r="B32" s="14" t="s">
        <v>8</v>
      </c>
      <c r="C32" s="5">
        <f>1/2</f>
        <v>0.5</v>
      </c>
      <c r="D32" s="5">
        <v>1</v>
      </c>
      <c r="E32" s="5">
        <f>1/3</f>
        <v>0.33333333333333331</v>
      </c>
      <c r="F32" s="14">
        <f t="shared" ref="F32:F33" si="0">GEOMEAN(C32:E32)</f>
        <v>0.55032120814910446</v>
      </c>
      <c r="G32" s="6">
        <f t="shared" ref="G32:G33" si="1">F32/$F$34</f>
        <v>0.16666666666666666</v>
      </c>
      <c r="H32" s="5"/>
      <c r="I32" s="5"/>
      <c r="J32" s="5"/>
      <c r="K32" s="5"/>
      <c r="L32" s="5"/>
      <c r="M32" s="20" t="s">
        <v>15</v>
      </c>
      <c r="N32" s="20" t="s">
        <v>16</v>
      </c>
      <c r="O32" s="10">
        <v>1</v>
      </c>
      <c r="P32" s="11">
        <v>1</v>
      </c>
      <c r="Q32" s="12">
        <v>1</v>
      </c>
      <c r="R32" s="20" t="s">
        <v>17</v>
      </c>
      <c r="S32" s="4">
        <f>C32</f>
        <v>0.5</v>
      </c>
      <c r="T32" s="5">
        <f>D32</f>
        <v>1</v>
      </c>
      <c r="U32" s="6">
        <f>E32</f>
        <v>0.33333333333333331</v>
      </c>
      <c r="V32" s="20" t="s">
        <v>17</v>
      </c>
      <c r="W32" s="14">
        <f t="shared" ref="W32:W33" si="2">G32</f>
        <v>0.16666666666666666</v>
      </c>
      <c r="X32" s="20" t="s">
        <v>16</v>
      </c>
      <c r="Y32" s="25">
        <f>(SUM(S31:S33)*W31)+(SUM(T31:T33)*W32)+(SUM(U31:U33)*W33)</f>
        <v>3</v>
      </c>
    </row>
    <row r="33" spans="1:29">
      <c r="A33" s="24"/>
      <c r="B33" s="15" t="s">
        <v>9</v>
      </c>
      <c r="C33" s="8">
        <f>3/2</f>
        <v>1.5</v>
      </c>
      <c r="D33" s="8">
        <v>3</v>
      </c>
      <c r="E33" s="8">
        <v>1</v>
      </c>
      <c r="F33" s="15">
        <f t="shared" si="0"/>
        <v>1.6509636244473134</v>
      </c>
      <c r="G33" s="9">
        <f t="shared" si="1"/>
        <v>0.5</v>
      </c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7">
        <f>C33</f>
        <v>1.5</v>
      </c>
      <c r="T33" s="8">
        <f>D33</f>
        <v>3</v>
      </c>
      <c r="U33" s="9">
        <f>E33</f>
        <v>1</v>
      </c>
      <c r="V33" s="5"/>
      <c r="W33" s="15">
        <f t="shared" si="2"/>
        <v>0.5</v>
      </c>
      <c r="X33" s="5"/>
      <c r="Y33" s="25"/>
    </row>
    <row r="34" spans="1:29">
      <c r="A34" s="24"/>
      <c r="B34" s="5"/>
      <c r="C34" s="5"/>
      <c r="D34" s="5"/>
      <c r="E34" s="5"/>
      <c r="F34" s="5">
        <f>SUM(F31:F33)</f>
        <v>3.3019272488946267</v>
      </c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25"/>
    </row>
    <row r="35" spans="1:29">
      <c r="A35" s="24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25"/>
    </row>
    <row r="36" spans="1:29">
      <c r="A36" s="24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20" t="s">
        <v>18</v>
      </c>
      <c r="N36" s="20" t="s">
        <v>16</v>
      </c>
      <c r="O36" s="17" t="s">
        <v>15</v>
      </c>
      <c r="P36" s="17" t="s">
        <v>19</v>
      </c>
      <c r="Q36" s="17" t="s">
        <v>20</v>
      </c>
      <c r="R36" s="19" t="s">
        <v>16</v>
      </c>
      <c r="S36" s="5">
        <v>0</v>
      </c>
      <c r="T36" s="5"/>
      <c r="U36" s="5"/>
      <c r="V36" s="5"/>
      <c r="W36" s="5"/>
      <c r="X36" s="5"/>
      <c r="Y36" s="25"/>
    </row>
    <row r="37" spans="1:29">
      <c r="A37" s="24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20"/>
      <c r="N37" s="20"/>
      <c r="O37" s="18" t="s">
        <v>20</v>
      </c>
      <c r="P37" s="18" t="s">
        <v>19</v>
      </c>
      <c r="Q37" s="18">
        <v>1</v>
      </c>
      <c r="R37" s="5"/>
      <c r="S37" s="5"/>
      <c r="T37" s="5"/>
      <c r="U37" s="5"/>
      <c r="V37" s="5"/>
      <c r="W37" s="5"/>
      <c r="X37" s="5"/>
      <c r="Y37" s="25"/>
    </row>
    <row r="38" spans="1:29">
      <c r="A38" s="24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25"/>
    </row>
    <row r="39" spans="1:29">
      <c r="A39" s="24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20" t="s">
        <v>21</v>
      </c>
      <c r="N39" s="20" t="s">
        <v>16</v>
      </c>
      <c r="O39" s="17" t="str">
        <f>M36</f>
        <v>ио</v>
      </c>
      <c r="P39" s="20" t="s">
        <v>16</v>
      </c>
      <c r="Q39" s="5">
        <v>0</v>
      </c>
      <c r="R39" s="5"/>
      <c r="S39" s="5"/>
      <c r="T39" s="5"/>
      <c r="U39" s="5"/>
      <c r="V39" s="5"/>
      <c r="W39" s="5"/>
      <c r="X39" s="5"/>
      <c r="Y39" s="25"/>
    </row>
    <row r="40" spans="1:29">
      <c r="A40" s="24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20"/>
      <c r="N40" s="20"/>
      <c r="O40" s="18" t="s">
        <v>22</v>
      </c>
      <c r="P40" s="5"/>
      <c r="Q40" s="5"/>
      <c r="R40" s="5"/>
      <c r="S40" s="5"/>
      <c r="T40" s="5"/>
      <c r="U40" s="5"/>
      <c r="V40" s="5"/>
      <c r="W40" s="5"/>
      <c r="X40" s="5"/>
      <c r="Y40" s="25"/>
    </row>
    <row r="41" spans="1:29" ht="15.75" thickBot="1">
      <c r="A41" s="24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25"/>
      <c r="AB41" s="27"/>
      <c r="AC41" s="27"/>
    </row>
    <row r="42" spans="1:29">
      <c r="A42" s="21"/>
      <c r="B42" s="22"/>
      <c r="C42" s="22"/>
      <c r="D42" s="22"/>
      <c r="E42" s="22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22"/>
      <c r="AB42" s="5"/>
      <c r="AC42" s="23"/>
    </row>
    <row r="43" spans="1:29">
      <c r="A43" s="24"/>
      <c r="B43" s="5"/>
      <c r="C43" s="5"/>
      <c r="D43" s="5"/>
      <c r="E43" s="5"/>
      <c r="F43" s="5"/>
      <c r="G43" s="5"/>
      <c r="H43" s="5"/>
      <c r="I43" s="5"/>
      <c r="J43" s="5"/>
      <c r="K43" s="20" t="s">
        <v>23</v>
      </c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25"/>
    </row>
    <row r="44" spans="1:29">
      <c r="A44" s="24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25"/>
    </row>
    <row r="45" spans="1:29">
      <c r="A45" s="24"/>
      <c r="B45" s="13" t="s">
        <v>24</v>
      </c>
      <c r="C45" s="11" t="s">
        <v>25</v>
      </c>
      <c r="D45" s="11" t="s">
        <v>26</v>
      </c>
      <c r="E45" s="11" t="s">
        <v>27</v>
      </c>
      <c r="F45" s="13" t="s">
        <v>10</v>
      </c>
      <c r="G45" s="12" t="s">
        <v>28</v>
      </c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20" t="s">
        <v>12</v>
      </c>
      <c r="U45" s="5"/>
      <c r="V45" s="5"/>
      <c r="W45" s="20" t="s">
        <v>13</v>
      </c>
      <c r="X45" s="5"/>
      <c r="Y45" s="5"/>
      <c r="Z45" s="5"/>
      <c r="AA45" s="5"/>
      <c r="AB45" s="5"/>
      <c r="AC45" s="25"/>
    </row>
    <row r="46" spans="1:29">
      <c r="A46" s="24"/>
      <c r="B46" s="14" t="s">
        <v>29</v>
      </c>
      <c r="C46" s="5">
        <v>1</v>
      </c>
      <c r="D46" s="5">
        <f>1/2</f>
        <v>0.5</v>
      </c>
      <c r="E46" s="5">
        <v>2</v>
      </c>
      <c r="F46" s="14">
        <f>GEOMEAN(C46:E46)</f>
        <v>1</v>
      </c>
      <c r="G46" s="6">
        <f>F46/$F$49</f>
        <v>0.2857142857142857</v>
      </c>
      <c r="H46" s="5"/>
      <c r="I46" s="5"/>
      <c r="J46" s="5"/>
      <c r="K46" s="5"/>
      <c r="L46" s="5"/>
      <c r="M46" s="5"/>
      <c r="N46" s="5"/>
      <c r="O46" s="5"/>
      <c r="P46" s="20" t="s">
        <v>14</v>
      </c>
      <c r="Q46" s="5"/>
      <c r="R46" s="5"/>
      <c r="S46" s="1">
        <f>C46</f>
        <v>1</v>
      </c>
      <c r="T46" s="2">
        <f>D46</f>
        <v>0.5</v>
      </c>
      <c r="U46" s="3">
        <f>E46</f>
        <v>2</v>
      </c>
      <c r="V46" s="5"/>
      <c r="W46" s="16">
        <f>G46</f>
        <v>0.2857142857142857</v>
      </c>
      <c r="X46" s="5"/>
      <c r="Y46" s="5"/>
      <c r="Z46" s="5"/>
      <c r="AA46" s="5"/>
      <c r="AB46" s="5"/>
      <c r="AC46" s="25"/>
    </row>
    <row r="47" spans="1:29">
      <c r="A47" s="24"/>
      <c r="B47" s="14" t="s">
        <v>26</v>
      </c>
      <c r="C47" s="5">
        <v>2</v>
      </c>
      <c r="D47" s="5">
        <v>1</v>
      </c>
      <c r="E47" s="5">
        <v>4</v>
      </c>
      <c r="F47" s="14">
        <f t="shared" ref="F47:F48" si="3">GEOMEAN(C47:E47)</f>
        <v>2</v>
      </c>
      <c r="G47" s="6">
        <f t="shared" ref="G47:G48" si="4">F47/$F$49</f>
        <v>0.5714285714285714</v>
      </c>
      <c r="H47" s="5"/>
      <c r="I47" s="5"/>
      <c r="J47" s="5"/>
      <c r="K47" s="5"/>
      <c r="L47" s="5"/>
      <c r="M47" s="20" t="s">
        <v>15</v>
      </c>
      <c r="N47" s="20" t="s">
        <v>16</v>
      </c>
      <c r="O47" s="10">
        <v>1</v>
      </c>
      <c r="P47" s="11">
        <v>1</v>
      </c>
      <c r="Q47" s="12">
        <v>1</v>
      </c>
      <c r="R47" s="20" t="s">
        <v>17</v>
      </c>
      <c r="S47" s="4">
        <f>C47</f>
        <v>2</v>
      </c>
      <c r="T47" s="5">
        <f>D47</f>
        <v>1</v>
      </c>
      <c r="U47" s="6">
        <f>E47</f>
        <v>4</v>
      </c>
      <c r="V47" s="20" t="s">
        <v>17</v>
      </c>
      <c r="W47" s="14">
        <f t="shared" ref="W47:W48" si="5">G47</f>
        <v>0.5714285714285714</v>
      </c>
      <c r="X47" s="20" t="s">
        <v>16</v>
      </c>
      <c r="Y47" s="5">
        <f>(SUM(S46:S48)*W46)+(SUM(T46:T48)*W47)+(SUM(U46:U48)*W48)</f>
        <v>3</v>
      </c>
      <c r="Z47" s="5"/>
      <c r="AA47" s="5"/>
      <c r="AB47" s="5"/>
      <c r="AC47" s="25"/>
    </row>
    <row r="48" spans="1:29">
      <c r="A48" s="24"/>
      <c r="B48" s="15" t="s">
        <v>27</v>
      </c>
      <c r="C48" s="8">
        <f>1/2</f>
        <v>0.5</v>
      </c>
      <c r="D48" s="8">
        <f>1/4</f>
        <v>0.25</v>
      </c>
      <c r="E48" s="8">
        <v>1</v>
      </c>
      <c r="F48" s="15">
        <f t="shared" si="3"/>
        <v>0.5</v>
      </c>
      <c r="G48" s="9">
        <f t="shared" si="4"/>
        <v>0.14285714285714285</v>
      </c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7">
        <f>C48</f>
        <v>0.5</v>
      </c>
      <c r="T48" s="8">
        <f>D48</f>
        <v>0.25</v>
      </c>
      <c r="U48" s="9">
        <f>E48</f>
        <v>1</v>
      </c>
      <c r="V48" s="5"/>
      <c r="W48" s="15">
        <f t="shared" si="5"/>
        <v>0.14285714285714285</v>
      </c>
      <c r="X48" s="5"/>
      <c r="Y48" s="5"/>
      <c r="Z48" s="5"/>
      <c r="AA48" s="5"/>
      <c r="AB48" s="5"/>
      <c r="AC48" s="25"/>
    </row>
    <row r="49" spans="1:29">
      <c r="A49" s="24"/>
      <c r="B49" s="5"/>
      <c r="C49" s="5"/>
      <c r="D49" s="5"/>
      <c r="E49" s="5"/>
      <c r="F49" s="5">
        <f>SUM(F46:F48)</f>
        <v>3.5</v>
      </c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25"/>
    </row>
    <row r="50" spans="1:29">
      <c r="A50" s="24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25"/>
    </row>
    <row r="51" spans="1:29">
      <c r="A51" s="24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20" t="s">
        <v>18</v>
      </c>
      <c r="N51" s="20" t="s">
        <v>16</v>
      </c>
      <c r="O51" s="17" t="s">
        <v>15</v>
      </c>
      <c r="P51" s="17" t="s">
        <v>19</v>
      </c>
      <c r="Q51" s="17" t="s">
        <v>20</v>
      </c>
      <c r="R51" s="19" t="s">
        <v>16</v>
      </c>
      <c r="S51" s="5">
        <f>(Y47-3)/2</f>
        <v>0</v>
      </c>
      <c r="T51" s="5"/>
      <c r="U51" s="5"/>
      <c r="V51" s="5"/>
      <c r="W51" s="5"/>
      <c r="X51" s="5"/>
      <c r="Y51" s="5"/>
      <c r="Z51" s="5"/>
      <c r="AA51" s="5"/>
      <c r="AB51" s="5"/>
      <c r="AC51" s="25"/>
    </row>
    <row r="52" spans="1:29">
      <c r="A52" s="24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20"/>
      <c r="N52" s="20"/>
      <c r="O52" s="18" t="s">
        <v>20</v>
      </c>
      <c r="P52" s="18" t="s">
        <v>19</v>
      </c>
      <c r="Q52" s="18">
        <v>1</v>
      </c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25"/>
    </row>
    <row r="53" spans="1:29">
      <c r="A53" s="24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25"/>
    </row>
    <row r="54" spans="1:29">
      <c r="A54" s="24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20" t="s">
        <v>21</v>
      </c>
      <c r="N54" s="20" t="s">
        <v>16</v>
      </c>
      <c r="O54" s="17" t="str">
        <f>M51</f>
        <v>ио</v>
      </c>
      <c r="P54" s="20" t="s">
        <v>16</v>
      </c>
      <c r="Q54" s="5">
        <f>S51/0.58</f>
        <v>0</v>
      </c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25"/>
    </row>
    <row r="55" spans="1:29">
      <c r="A55" s="24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20"/>
      <c r="N55" s="20"/>
      <c r="O55" s="18" t="s">
        <v>22</v>
      </c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25"/>
    </row>
    <row r="56" spans="1:29">
      <c r="A56" s="24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25"/>
    </row>
    <row r="57" spans="1:29">
      <c r="A57" s="24"/>
      <c r="B57" s="13" t="s">
        <v>8</v>
      </c>
      <c r="C57" s="11" t="s">
        <v>30</v>
      </c>
      <c r="D57" s="11" t="s">
        <v>31</v>
      </c>
      <c r="E57" s="13" t="s">
        <v>10</v>
      </c>
      <c r="F57" s="12" t="s">
        <v>32</v>
      </c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25"/>
    </row>
    <row r="58" spans="1:29">
      <c r="A58" s="24"/>
      <c r="B58" s="14" t="s">
        <v>30</v>
      </c>
      <c r="C58" s="5">
        <v>1</v>
      </c>
      <c r="D58" s="5">
        <v>2</v>
      </c>
      <c r="E58" s="4">
        <f>GEOMEAN(C58:D58)</f>
        <v>1.4142135623730949</v>
      </c>
      <c r="F58" s="16">
        <f>E58/$E$60</f>
        <v>0.66666666666666663</v>
      </c>
      <c r="G58" s="5"/>
      <c r="H58" s="5"/>
      <c r="I58" s="5"/>
      <c r="J58" s="5"/>
      <c r="K58" s="5"/>
      <c r="L58" s="5"/>
      <c r="M58" s="5"/>
      <c r="N58" s="13"/>
      <c r="O58" s="11" t="s">
        <v>24</v>
      </c>
      <c r="P58" s="11" t="s">
        <v>8</v>
      </c>
      <c r="Q58" s="12" t="s">
        <v>9</v>
      </c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25"/>
    </row>
    <row r="59" spans="1:29">
      <c r="A59" s="24"/>
      <c r="B59" s="15" t="s">
        <v>31</v>
      </c>
      <c r="C59" s="8">
        <f>1/2</f>
        <v>0.5</v>
      </c>
      <c r="D59" s="8">
        <v>1</v>
      </c>
      <c r="E59" s="7">
        <f>GEOMEAN(C59:D59)</f>
        <v>0.70710678118654757</v>
      </c>
      <c r="F59" s="15">
        <f>E59/$E$60</f>
        <v>0.33333333333333337</v>
      </c>
      <c r="G59" s="5"/>
      <c r="H59" s="5"/>
      <c r="I59" s="5"/>
      <c r="J59" s="5"/>
      <c r="K59" s="5"/>
      <c r="L59" s="5"/>
      <c r="M59" s="5"/>
      <c r="N59" s="14" t="s">
        <v>29</v>
      </c>
      <c r="O59" s="5">
        <f>G46</f>
        <v>0.2857142857142857</v>
      </c>
      <c r="P59" s="5">
        <v>0</v>
      </c>
      <c r="Q59" s="6">
        <v>0</v>
      </c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25"/>
    </row>
    <row r="60" spans="1:29">
      <c r="A60" s="24"/>
      <c r="B60" s="5"/>
      <c r="C60" s="5"/>
      <c r="D60" s="5"/>
      <c r="E60" s="5">
        <f>SUM(E58:E59)</f>
        <v>2.1213203435596424</v>
      </c>
      <c r="F60" s="5"/>
      <c r="G60" s="5"/>
      <c r="H60" s="5"/>
      <c r="I60" s="5"/>
      <c r="J60" s="5"/>
      <c r="K60" s="5"/>
      <c r="L60" s="5"/>
      <c r="M60" s="5"/>
      <c r="N60" s="14" t="s">
        <v>26</v>
      </c>
      <c r="O60" s="5">
        <f t="shared" ref="O60:O61" si="6">G47</f>
        <v>0.5714285714285714</v>
      </c>
      <c r="P60" s="5">
        <v>0</v>
      </c>
      <c r="Q60" s="6">
        <v>0</v>
      </c>
      <c r="R60" s="5"/>
      <c r="S60" s="5"/>
      <c r="T60" s="5"/>
      <c r="U60" s="1">
        <f>3/7</f>
        <v>0.42857142857142855</v>
      </c>
      <c r="V60" s="2">
        <v>0</v>
      </c>
      <c r="W60" s="3">
        <v>0</v>
      </c>
      <c r="X60" s="5"/>
      <c r="Y60" s="5"/>
      <c r="Z60" s="5"/>
      <c r="AA60" s="16">
        <f>G31</f>
        <v>0.33333333333333331</v>
      </c>
      <c r="AB60" s="5"/>
      <c r="AC60" s="25"/>
    </row>
    <row r="61" spans="1:29">
      <c r="A61" s="24"/>
      <c r="B61" s="5"/>
      <c r="C61" s="5"/>
      <c r="D61" s="5"/>
      <c r="E61" s="5"/>
      <c r="F61" s="5"/>
      <c r="G61" s="5"/>
      <c r="H61" s="5"/>
      <c r="I61" s="5"/>
      <c r="J61" s="5"/>
      <c r="K61" s="5"/>
      <c r="L61" s="20" t="s">
        <v>33</v>
      </c>
      <c r="M61" s="20" t="s">
        <v>16</v>
      </c>
      <c r="N61" s="14" t="s">
        <v>27</v>
      </c>
      <c r="O61" s="5">
        <f t="shared" si="6"/>
        <v>0.14285714285714285</v>
      </c>
      <c r="P61" s="5">
        <v>0</v>
      </c>
      <c r="Q61" s="6">
        <v>0</v>
      </c>
      <c r="R61" s="5"/>
      <c r="S61" s="20" t="s">
        <v>34</v>
      </c>
      <c r="T61" s="20" t="s">
        <v>16</v>
      </c>
      <c r="U61" s="4">
        <v>0</v>
      </c>
      <c r="V61" s="5">
        <f>2/7</f>
        <v>0.2857142857142857</v>
      </c>
      <c r="W61" s="6">
        <v>0</v>
      </c>
      <c r="X61" s="5"/>
      <c r="Y61" s="5" t="s">
        <v>13</v>
      </c>
      <c r="Z61" s="5" t="s">
        <v>16</v>
      </c>
      <c r="AA61" s="14">
        <f t="shared" ref="AA61:AA62" si="7">G32</f>
        <v>0.16666666666666666</v>
      </c>
      <c r="AB61" s="5"/>
      <c r="AC61" s="25"/>
    </row>
    <row r="62" spans="1:29">
      <c r="A62" s="24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14" t="s">
        <v>30</v>
      </c>
      <c r="O62" s="5">
        <v>0</v>
      </c>
      <c r="P62" s="5">
        <f>F58</f>
        <v>0.66666666666666663</v>
      </c>
      <c r="Q62" s="6">
        <v>0</v>
      </c>
      <c r="R62" s="5"/>
      <c r="S62" s="5"/>
      <c r="T62" s="5"/>
      <c r="U62" s="7">
        <v>0</v>
      </c>
      <c r="V62" s="8">
        <v>0</v>
      </c>
      <c r="W62" s="9">
        <f>2/7</f>
        <v>0.2857142857142857</v>
      </c>
      <c r="X62" s="5"/>
      <c r="Y62" s="5"/>
      <c r="Z62" s="5"/>
      <c r="AA62" s="15">
        <f t="shared" si="7"/>
        <v>0.5</v>
      </c>
      <c r="AB62" s="5"/>
      <c r="AC62" s="25"/>
    </row>
    <row r="63" spans="1:29">
      <c r="A63" s="24"/>
      <c r="B63" s="13" t="s">
        <v>9</v>
      </c>
      <c r="C63" s="11" t="s">
        <v>35</v>
      </c>
      <c r="D63" s="11" t="s">
        <v>36</v>
      </c>
      <c r="E63" s="13" t="s">
        <v>10</v>
      </c>
      <c r="F63" s="12" t="s">
        <v>37</v>
      </c>
      <c r="G63" s="5"/>
      <c r="H63" s="5"/>
      <c r="I63" s="5"/>
      <c r="J63" s="5"/>
      <c r="K63" s="5"/>
      <c r="L63" s="5"/>
      <c r="M63" s="5"/>
      <c r="N63" s="14" t="s">
        <v>31</v>
      </c>
      <c r="O63" s="5">
        <v>0</v>
      </c>
      <c r="P63" s="5">
        <f>F59</f>
        <v>0.33333333333333337</v>
      </c>
      <c r="Q63" s="6">
        <v>0</v>
      </c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25"/>
    </row>
    <row r="64" spans="1:29">
      <c r="A64" s="24"/>
      <c r="B64" s="14" t="s">
        <v>35</v>
      </c>
      <c r="C64" s="5">
        <v>1</v>
      </c>
      <c r="D64" s="5">
        <f>2</f>
        <v>2</v>
      </c>
      <c r="E64" s="14">
        <f>GEOMEAN(C64:D64)</f>
        <v>1.4142135623730949</v>
      </c>
      <c r="F64" s="6">
        <f>E64/$E$66</f>
        <v>0.66666666666666663</v>
      </c>
      <c r="G64" s="5"/>
      <c r="H64" s="5"/>
      <c r="I64" s="5"/>
      <c r="J64" s="5"/>
      <c r="K64" s="5"/>
      <c r="L64" s="5"/>
      <c r="M64" s="5"/>
      <c r="N64" s="14" t="s">
        <v>35</v>
      </c>
      <c r="O64" s="5">
        <v>0</v>
      </c>
      <c r="P64" s="5">
        <v>0</v>
      </c>
      <c r="Q64" s="6">
        <f>F64</f>
        <v>0.66666666666666663</v>
      </c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25"/>
    </row>
    <row r="65" spans="1:29">
      <c r="A65" s="24"/>
      <c r="B65" s="15" t="s">
        <v>36</v>
      </c>
      <c r="C65" s="8">
        <f>1/2</f>
        <v>0.5</v>
      </c>
      <c r="D65" s="8">
        <v>1</v>
      </c>
      <c r="E65" s="15">
        <f>GEOMEAN(C65:D65)</f>
        <v>0.70710678118654757</v>
      </c>
      <c r="F65" s="9">
        <f>E65/$E$66</f>
        <v>0.33333333333333337</v>
      </c>
      <c r="G65" s="5"/>
      <c r="H65" s="5"/>
      <c r="I65" s="5"/>
      <c r="J65" s="5"/>
      <c r="K65" s="5"/>
      <c r="L65" s="5"/>
      <c r="M65" s="5"/>
      <c r="N65" s="15" t="s">
        <v>36</v>
      </c>
      <c r="O65" s="8">
        <v>0</v>
      </c>
      <c r="P65" s="8">
        <v>0</v>
      </c>
      <c r="Q65" s="9">
        <f>F65</f>
        <v>0.33333333333333337</v>
      </c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25"/>
    </row>
    <row r="66" spans="1:29">
      <c r="A66" s="24"/>
      <c r="B66" s="5"/>
      <c r="C66" s="5"/>
      <c r="D66" s="5"/>
      <c r="E66" s="5">
        <f>SUM(E64:E65)</f>
        <v>2.1213203435596424</v>
      </c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 t="s">
        <v>38</v>
      </c>
      <c r="AC66" s="25"/>
    </row>
    <row r="67" spans="1:29">
      <c r="A67" s="24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1">
        <f>O59*U60</f>
        <v>0.12244897959183672</v>
      </c>
      <c r="U67" s="29">
        <v>0</v>
      </c>
      <c r="V67" s="30">
        <v>0</v>
      </c>
      <c r="W67" s="5"/>
      <c r="X67" s="5"/>
      <c r="Y67" s="5"/>
      <c r="Z67" s="16">
        <f>T67*AA$60</f>
        <v>4.0816326530612235E-2</v>
      </c>
      <c r="AA67" s="5"/>
      <c r="AB67" s="16">
        <f>Z67/Z$74</f>
        <v>0.1224489795918367</v>
      </c>
      <c r="AC67" s="25"/>
    </row>
    <row r="68" spans="1:29">
      <c r="A68" s="24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4">
        <f>O60*U60</f>
        <v>0.24489795918367344</v>
      </c>
      <c r="U68" s="31">
        <v>0</v>
      </c>
      <c r="V68" s="32">
        <v>0</v>
      </c>
      <c r="W68" s="5"/>
      <c r="X68" s="5"/>
      <c r="Y68" s="5"/>
      <c r="Z68" s="14">
        <f t="shared" ref="Z68:Z69" si="8">T68*AA$60</f>
        <v>8.1632653061224469E-2</v>
      </c>
      <c r="AA68" s="5"/>
      <c r="AB68" s="14">
        <f t="shared" ref="AB68:AB73" si="9">Z68/Z$74</f>
        <v>0.24489795918367341</v>
      </c>
      <c r="AC68" s="25"/>
    </row>
    <row r="69" spans="1:29">
      <c r="A69" s="24"/>
      <c r="B69" s="5"/>
      <c r="C69" s="5"/>
      <c r="D69" s="5"/>
      <c r="E69" s="5"/>
      <c r="F69" s="5"/>
      <c r="G69" s="5"/>
      <c r="H69" s="5"/>
      <c r="I69" s="5"/>
      <c r="J69" s="5"/>
      <c r="K69" s="5"/>
      <c r="L69" s="20" t="s">
        <v>23</v>
      </c>
      <c r="M69" s="20" t="s">
        <v>16</v>
      </c>
      <c r="N69" s="20" t="s">
        <v>33</v>
      </c>
      <c r="O69" s="20" t="s">
        <v>17</v>
      </c>
      <c r="P69" s="20" t="s">
        <v>34</v>
      </c>
      <c r="Q69" s="20" t="s">
        <v>17</v>
      </c>
      <c r="R69" s="20" t="s">
        <v>13</v>
      </c>
      <c r="S69" s="20" t="s">
        <v>16</v>
      </c>
      <c r="T69" s="4">
        <f>O61*U60</f>
        <v>6.1224489795918359E-2</v>
      </c>
      <c r="U69" s="33">
        <v>0</v>
      </c>
      <c r="V69" s="34">
        <v>0</v>
      </c>
      <c r="W69" s="19" t="s">
        <v>17</v>
      </c>
      <c r="X69" s="5" t="s">
        <v>13</v>
      </c>
      <c r="Y69" s="20" t="s">
        <v>16</v>
      </c>
      <c r="Z69" s="14">
        <f t="shared" si="8"/>
        <v>2.0408163265306117E-2</v>
      </c>
      <c r="AA69" s="20" t="s">
        <v>16</v>
      </c>
      <c r="AB69" s="14">
        <f t="shared" si="9"/>
        <v>6.1224489795918352E-2</v>
      </c>
      <c r="AC69" s="25"/>
    </row>
    <row r="70" spans="1:29">
      <c r="A70" s="24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37">
        <v>0</v>
      </c>
      <c r="U70" s="31">
        <f>P62*V61</f>
        <v>0.19047619047619047</v>
      </c>
      <c r="V70" s="32">
        <v>0</v>
      </c>
      <c r="W70" s="5"/>
      <c r="X70" s="5"/>
      <c r="Y70" s="5"/>
      <c r="Z70" s="14">
        <f>U70*AA61</f>
        <v>3.1746031746031744E-2</v>
      </c>
      <c r="AA70" s="5"/>
      <c r="AB70" s="14">
        <f t="shared" si="9"/>
        <v>9.5238095238095233E-2</v>
      </c>
      <c r="AC70" s="25"/>
    </row>
    <row r="71" spans="1:29">
      <c r="A71" s="24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4">
        <v>0</v>
      </c>
      <c r="U71" s="31">
        <f>P63*V61</f>
        <v>9.5238095238095247E-2</v>
      </c>
      <c r="V71" s="32">
        <v>0</v>
      </c>
      <c r="W71" s="5"/>
      <c r="X71" s="5"/>
      <c r="Y71" s="5"/>
      <c r="Z71" s="14">
        <f>U71*AA61</f>
        <v>1.5873015873015872E-2</v>
      </c>
      <c r="AA71" s="5"/>
      <c r="AB71" s="14">
        <f t="shared" si="9"/>
        <v>4.7619047619047616E-2</v>
      </c>
      <c r="AC71" s="25"/>
    </row>
    <row r="72" spans="1:29">
      <c r="A72" s="24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4">
        <v>0</v>
      </c>
      <c r="U72" s="31">
        <v>0</v>
      </c>
      <c r="V72" s="32">
        <f>Q64*W62</f>
        <v>0.19047619047619047</v>
      </c>
      <c r="W72" s="5"/>
      <c r="X72" s="5"/>
      <c r="Y72" s="5"/>
      <c r="Z72" s="14">
        <f>V72*AA62</f>
        <v>9.5238095238095233E-2</v>
      </c>
      <c r="AA72" s="5"/>
      <c r="AB72" s="14">
        <f t="shared" si="9"/>
        <v>0.2857142857142857</v>
      </c>
      <c r="AC72" s="25"/>
    </row>
    <row r="73" spans="1:29">
      <c r="A73" s="24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7">
        <v>0</v>
      </c>
      <c r="U73" s="35">
        <v>0</v>
      </c>
      <c r="V73" s="36">
        <f>Q65*W62</f>
        <v>9.5238095238095247E-2</v>
      </c>
      <c r="W73" s="5"/>
      <c r="X73" s="5"/>
      <c r="Y73" s="5"/>
      <c r="Z73" s="15">
        <f>V73*AA62</f>
        <v>4.7619047619047623E-2</v>
      </c>
      <c r="AA73" s="5"/>
      <c r="AB73" s="15">
        <f t="shared" si="9"/>
        <v>0.14285714285714288</v>
      </c>
      <c r="AC73" s="25"/>
    </row>
    <row r="74" spans="1:29" ht="15.75" thickBot="1">
      <c r="A74" s="26"/>
      <c r="B74" s="27"/>
      <c r="C74" s="27"/>
      <c r="D74" s="27"/>
      <c r="E74" s="27"/>
      <c r="F74" s="27"/>
      <c r="G74" s="27"/>
      <c r="H74" s="27"/>
      <c r="I74" s="27"/>
      <c r="J74" s="27"/>
      <c r="K74" s="27"/>
      <c r="L74" s="27"/>
      <c r="M74" s="27"/>
      <c r="N74" s="27"/>
      <c r="O74" s="27"/>
      <c r="P74" s="27"/>
      <c r="Q74" s="27"/>
      <c r="R74" s="27"/>
      <c r="S74" s="27"/>
      <c r="T74" s="27"/>
      <c r="U74" s="27"/>
      <c r="V74" s="27"/>
      <c r="W74" s="27"/>
      <c r="X74" s="27"/>
      <c r="Y74" s="27"/>
      <c r="Z74" s="27">
        <f>SUM(Z67:Z73)</f>
        <v>0.33333333333333331</v>
      </c>
      <c r="AA74" s="27"/>
      <c r="AB74" s="27"/>
      <c r="AC74" s="28"/>
    </row>
    <row r="75" spans="1:29">
      <c r="A75" s="21"/>
      <c r="B75" s="22"/>
      <c r="C75" s="22"/>
      <c r="D75" s="22"/>
      <c r="E75" s="22"/>
      <c r="F75" s="22"/>
      <c r="G75" s="22"/>
      <c r="H75" s="22"/>
      <c r="I75" s="22"/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/>
      <c r="W75" s="23"/>
    </row>
    <row r="76" spans="1:29">
      <c r="A76" s="24"/>
      <c r="B76" s="5"/>
      <c r="C76" s="5"/>
      <c r="D76" s="5"/>
      <c r="E76" s="5"/>
      <c r="F76" s="5"/>
      <c r="G76" s="5"/>
      <c r="H76" s="5"/>
      <c r="I76" s="5"/>
      <c r="J76" s="5"/>
      <c r="K76" s="20" t="s">
        <v>39</v>
      </c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25"/>
    </row>
    <row r="77" spans="1:29">
      <c r="A77" s="24" t="s">
        <v>40</v>
      </c>
      <c r="B77" s="20" t="s">
        <v>16</v>
      </c>
      <c r="C77" s="5">
        <v>0.5</v>
      </c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25"/>
    </row>
    <row r="78" spans="1:29">
      <c r="A78" s="24" t="s">
        <v>41</v>
      </c>
      <c r="B78" s="20" t="s">
        <v>16</v>
      </c>
      <c r="C78" s="5">
        <v>0.25</v>
      </c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25"/>
    </row>
    <row r="79" spans="1:29">
      <c r="A79" s="24" t="s">
        <v>42</v>
      </c>
      <c r="B79" s="20" t="s">
        <v>16</v>
      </c>
      <c r="C79" s="5">
        <f>0.15</f>
        <v>0.15</v>
      </c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16">
        <f>AB67</f>
        <v>0.1224489795918367</v>
      </c>
      <c r="W79" s="25"/>
    </row>
    <row r="80" spans="1:29">
      <c r="A80" s="24" t="s">
        <v>43</v>
      </c>
      <c r="B80" s="20" t="s">
        <v>16</v>
      </c>
      <c r="C80" s="5">
        <f>0.1</f>
        <v>0.1</v>
      </c>
      <c r="D80" s="5"/>
      <c r="E80" s="5"/>
      <c r="F80" s="5"/>
      <c r="G80" s="5"/>
      <c r="H80" s="5"/>
      <c r="I80" s="5"/>
      <c r="J80" s="5"/>
      <c r="K80" s="5"/>
      <c r="L80" s="10" t="s">
        <v>44</v>
      </c>
      <c r="M80" s="11" t="s">
        <v>45</v>
      </c>
      <c r="N80" s="11" t="s">
        <v>46</v>
      </c>
      <c r="O80" s="11" t="s">
        <v>47</v>
      </c>
      <c r="P80" s="11" t="s">
        <v>48</v>
      </c>
      <c r="Q80" s="11" t="s">
        <v>49</v>
      </c>
      <c r="R80" s="12" t="s">
        <v>50</v>
      </c>
      <c r="S80" s="5"/>
      <c r="T80" s="5"/>
      <c r="U80" s="5"/>
      <c r="V80" s="14">
        <f t="shared" ref="V80:V85" si="10">AB68</f>
        <v>0.24489795918367341</v>
      </c>
      <c r="W80" s="25"/>
    </row>
    <row r="81" spans="1:23">
      <c r="A81" s="24"/>
      <c r="B81" s="5"/>
      <c r="C81" s="5"/>
      <c r="D81" s="5"/>
      <c r="E81" s="5"/>
      <c r="F81" s="5"/>
      <c r="G81" s="5"/>
      <c r="H81" s="5"/>
      <c r="I81" s="5"/>
      <c r="J81" s="5"/>
      <c r="K81" s="5"/>
      <c r="L81" s="4">
        <f>D84</f>
        <v>0.24731182795698922</v>
      </c>
      <c r="M81" s="5">
        <f>D91</f>
        <v>0.28152492668621698</v>
      </c>
      <c r="N81" s="5">
        <f>D98</f>
        <v>0.34782608695652173</v>
      </c>
      <c r="O81" s="5">
        <f>D105</f>
        <v>0.1875</v>
      </c>
      <c r="P81" s="5">
        <f>D112</f>
        <v>0.42105263157894735</v>
      </c>
      <c r="Q81" s="5">
        <f>D119</f>
        <v>0.5</v>
      </c>
      <c r="R81" s="6">
        <f>D126</f>
        <v>0.5</v>
      </c>
      <c r="S81" s="5"/>
      <c r="T81" s="5"/>
      <c r="U81" s="5"/>
      <c r="V81" s="14">
        <f t="shared" si="10"/>
        <v>6.1224489795918352E-2</v>
      </c>
      <c r="W81" s="25"/>
    </row>
    <row r="82" spans="1:23">
      <c r="A82" s="24"/>
      <c r="B82" s="5"/>
      <c r="C82" s="5"/>
      <c r="D82" s="5"/>
      <c r="E82" s="5"/>
      <c r="F82" s="5"/>
      <c r="G82" s="5"/>
      <c r="H82" s="5"/>
      <c r="I82" s="5"/>
      <c r="J82" s="20" t="s">
        <v>51</v>
      </c>
      <c r="K82" s="20" t="s">
        <v>16</v>
      </c>
      <c r="L82" s="4">
        <f t="shared" ref="L82:L84" si="11">D85</f>
        <v>0.24516129032258061</v>
      </c>
      <c r="M82" s="5">
        <f t="shared" ref="M82:M84" si="12">D92</f>
        <v>0.26392961876832843</v>
      </c>
      <c r="N82" s="5">
        <f t="shared" ref="N82:N84" si="13">D99</f>
        <v>0.2608695652173913</v>
      </c>
      <c r="O82" s="5">
        <f t="shared" ref="O82:O84" si="14">D106</f>
        <v>0.25</v>
      </c>
      <c r="P82" s="5">
        <f t="shared" ref="P82:P84" si="15">D113</f>
        <v>0.15789473684210525</v>
      </c>
      <c r="Q82" s="5">
        <f t="shared" ref="Q82:Q84" si="16">D120</f>
        <v>0.15</v>
      </c>
      <c r="R82" s="6">
        <f t="shared" ref="R82:R84" si="17">D127</f>
        <v>0.1</v>
      </c>
      <c r="S82" s="5"/>
      <c r="T82" s="20" t="s">
        <v>23</v>
      </c>
      <c r="U82" s="20" t="s">
        <v>16</v>
      </c>
      <c r="V82" s="14">
        <f t="shared" si="10"/>
        <v>9.5238095238095233E-2</v>
      </c>
      <c r="W82" s="25"/>
    </row>
    <row r="83" spans="1:23">
      <c r="A83" s="24"/>
      <c r="B83" s="13" t="s">
        <v>29</v>
      </c>
      <c r="C83" s="13" t="s">
        <v>52</v>
      </c>
      <c r="D83" s="12" t="s">
        <v>44</v>
      </c>
      <c r="E83" s="5"/>
      <c r="F83" s="5"/>
      <c r="G83" s="5"/>
      <c r="H83" s="5"/>
      <c r="I83" s="5"/>
      <c r="J83" s="5"/>
      <c r="K83" s="5"/>
      <c r="L83" s="4">
        <f t="shared" si="11"/>
        <v>0.25161290322580643</v>
      </c>
      <c r="M83" s="5">
        <f t="shared" si="12"/>
        <v>0.19354838709677419</v>
      </c>
      <c r="N83" s="5">
        <f t="shared" si="13"/>
        <v>0.13043478260869565</v>
      </c>
      <c r="O83" s="5">
        <f t="shared" si="14"/>
        <v>0.1875</v>
      </c>
      <c r="P83" s="5">
        <f t="shared" si="15"/>
        <v>0.31578947368421051</v>
      </c>
      <c r="Q83" s="5">
        <f t="shared" si="16"/>
        <v>0.25</v>
      </c>
      <c r="R83" s="6">
        <f t="shared" si="17"/>
        <v>0.15</v>
      </c>
      <c r="S83" s="5"/>
      <c r="T83" s="5"/>
      <c r="U83" s="5"/>
      <c r="V83" s="14">
        <f t="shared" si="10"/>
        <v>4.7619047619047616E-2</v>
      </c>
      <c r="W83" s="25"/>
    </row>
    <row r="84" spans="1:23">
      <c r="A84" s="24"/>
      <c r="B84" s="14" t="s">
        <v>53</v>
      </c>
      <c r="C84" s="14">
        <v>1.1499999999999999</v>
      </c>
      <c r="D84" s="6">
        <f>C84/C$88</f>
        <v>0.24731182795698922</v>
      </c>
      <c r="E84" s="5"/>
      <c r="F84" s="5"/>
      <c r="G84" s="5"/>
      <c r="H84" s="5"/>
      <c r="I84" s="5"/>
      <c r="J84" s="5"/>
      <c r="K84" s="5"/>
      <c r="L84" s="7">
        <f t="shared" si="11"/>
        <v>0.25591397849462361</v>
      </c>
      <c r="M84" s="8">
        <f t="shared" si="12"/>
        <v>0.26099706744868034</v>
      </c>
      <c r="N84" s="8">
        <f t="shared" si="13"/>
        <v>0.2608695652173913</v>
      </c>
      <c r="O84" s="8">
        <f t="shared" si="14"/>
        <v>0.375</v>
      </c>
      <c r="P84" s="8">
        <f t="shared" si="15"/>
        <v>0.10526315789473684</v>
      </c>
      <c r="Q84" s="8">
        <f t="shared" si="16"/>
        <v>0.1</v>
      </c>
      <c r="R84" s="9">
        <f t="shared" si="17"/>
        <v>0.25</v>
      </c>
      <c r="S84" s="5"/>
      <c r="T84" s="5"/>
      <c r="U84" s="20"/>
      <c r="V84" s="14">
        <f t="shared" si="10"/>
        <v>0.2857142857142857</v>
      </c>
      <c r="W84" s="25"/>
    </row>
    <row r="85" spans="1:23">
      <c r="A85" s="24"/>
      <c r="B85" s="14" t="s">
        <v>54</v>
      </c>
      <c r="C85" s="14">
        <v>1.1399999999999999</v>
      </c>
      <c r="D85" s="6">
        <f t="shared" ref="D85:D87" si="18">C85/C$88</f>
        <v>0.24516129032258061</v>
      </c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15">
        <f t="shared" si="10"/>
        <v>0.14285714285714288</v>
      </c>
      <c r="W85" s="25"/>
    </row>
    <row r="86" spans="1:23">
      <c r="A86" s="24"/>
      <c r="B86" s="14" t="s">
        <v>55</v>
      </c>
      <c r="C86" s="14">
        <v>1.17</v>
      </c>
      <c r="D86" s="6">
        <f t="shared" si="18"/>
        <v>0.25161290322580643</v>
      </c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25"/>
    </row>
    <row r="87" spans="1:23">
      <c r="A87" s="24"/>
      <c r="B87" s="15" t="s">
        <v>56</v>
      </c>
      <c r="C87" s="15">
        <v>1.19</v>
      </c>
      <c r="D87" s="9">
        <f t="shared" si="18"/>
        <v>0.25591397849462361</v>
      </c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25"/>
    </row>
    <row r="88" spans="1:23">
      <c r="A88" s="24"/>
      <c r="B88" s="5"/>
      <c r="C88" s="5">
        <f>SUM(C84:C87)</f>
        <v>4.6500000000000004</v>
      </c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25"/>
    </row>
    <row r="89" spans="1:23">
      <c r="A89" s="24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25"/>
    </row>
    <row r="90" spans="1:23">
      <c r="A90" s="24"/>
      <c r="B90" s="13" t="s">
        <v>26</v>
      </c>
      <c r="C90" s="13" t="s">
        <v>52</v>
      </c>
      <c r="D90" s="12" t="s">
        <v>45</v>
      </c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>
        <f>L81*V$79+M81*V$80+N81*V$81+O81*V$82+P81*V$83+Q81*V$84+R81*V$85</f>
        <v>0.37271641814687712</v>
      </c>
      <c r="R90" s="5"/>
      <c r="S90" s="5"/>
      <c r="T90" s="5"/>
      <c r="U90" s="5"/>
      <c r="V90" s="5"/>
      <c r="W90" s="25"/>
    </row>
    <row r="91" spans="1:23">
      <c r="A91" s="24"/>
      <c r="B91" s="14" t="s">
        <v>53</v>
      </c>
      <c r="C91" s="14">
        <v>0.96</v>
      </c>
      <c r="D91" s="6">
        <f>C91/C$95</f>
        <v>0.28152492668621698</v>
      </c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>
        <f t="shared" ref="Q91:Q93" si="19">L82*V$79+M82*V$80+N82*V$81+O82*V$82+P82*V$83+Q82*V$84+R82*V$85</f>
        <v>0.19909835881848659</v>
      </c>
      <c r="R91" s="5"/>
      <c r="S91" s="5"/>
      <c r="T91" s="5"/>
      <c r="U91" s="5"/>
      <c r="V91" s="5"/>
      <c r="W91" s="25"/>
    </row>
    <row r="92" spans="1:23">
      <c r="A92" s="24"/>
      <c r="B92" s="14" t="s">
        <v>54</v>
      </c>
      <c r="C92" s="14">
        <v>0.9</v>
      </c>
      <c r="D92" s="6">
        <f t="shared" ref="D92:D94" si="20">C92/C$95</f>
        <v>0.26392961876832843</v>
      </c>
      <c r="E92" s="5"/>
      <c r="F92" s="5"/>
      <c r="G92" s="5"/>
      <c r="H92" s="5"/>
      <c r="I92" s="5"/>
      <c r="J92" s="5"/>
      <c r="K92" s="20" t="s">
        <v>57</v>
      </c>
      <c r="L92" s="20" t="s">
        <v>16</v>
      </c>
      <c r="M92" s="20" t="s">
        <v>58</v>
      </c>
      <c r="N92" s="20" t="s">
        <v>17</v>
      </c>
      <c r="O92" s="20" t="s">
        <v>23</v>
      </c>
      <c r="P92" s="20" t="s">
        <v>16</v>
      </c>
      <c r="Q92" s="5">
        <f t="shared" si="19"/>
        <v>0.21194703097153822</v>
      </c>
      <c r="R92" s="5"/>
      <c r="S92" s="5"/>
      <c r="T92" s="5"/>
      <c r="U92" s="5"/>
      <c r="V92" s="5"/>
      <c r="W92" s="25"/>
    </row>
    <row r="93" spans="1:23">
      <c r="A93" s="24"/>
      <c r="B93" s="14" t="s">
        <v>55</v>
      </c>
      <c r="C93" s="14">
        <v>0.66</v>
      </c>
      <c r="D93" s="6">
        <f t="shared" si="20"/>
        <v>0.19354838709677419</v>
      </c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>
        <f t="shared" si="19"/>
        <v>0.21623819206309794</v>
      </c>
      <c r="R93" s="5"/>
      <c r="S93" s="5"/>
      <c r="T93" s="5"/>
      <c r="U93" s="5"/>
      <c r="V93" s="5"/>
      <c r="W93" s="25"/>
    </row>
    <row r="94" spans="1:23">
      <c r="A94" s="24"/>
      <c r="B94" s="15" t="s">
        <v>56</v>
      </c>
      <c r="C94" s="15">
        <v>0.89</v>
      </c>
      <c r="D94" s="9">
        <f t="shared" si="20"/>
        <v>0.26099706744868034</v>
      </c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25"/>
    </row>
    <row r="95" spans="1:23">
      <c r="A95" s="24"/>
      <c r="B95" s="5"/>
      <c r="C95" s="5">
        <f>SUM(C91:C94)</f>
        <v>3.41</v>
      </c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38"/>
      <c r="R95" s="5"/>
      <c r="S95" s="5"/>
      <c r="T95" s="5"/>
      <c r="U95" s="5"/>
      <c r="V95" s="5"/>
      <c r="W95" s="25"/>
    </row>
    <row r="96" spans="1:23">
      <c r="A96" s="24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25"/>
    </row>
    <row r="97" spans="1:23">
      <c r="A97" s="24"/>
      <c r="B97" s="13" t="s">
        <v>27</v>
      </c>
      <c r="C97" s="13" t="s">
        <v>52</v>
      </c>
      <c r="D97" s="12" t="s">
        <v>46</v>
      </c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25"/>
    </row>
    <row r="98" spans="1:23">
      <c r="A98" s="24"/>
      <c r="B98" s="14" t="s">
        <v>53</v>
      </c>
      <c r="C98" s="14">
        <f>1/3</f>
        <v>0.33333333333333331</v>
      </c>
      <c r="D98" s="6">
        <f>C98/C$102</f>
        <v>0.34782608695652173</v>
      </c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25"/>
    </row>
    <row r="99" spans="1:23">
      <c r="A99" s="24"/>
      <c r="B99" s="14" t="s">
        <v>54</v>
      </c>
      <c r="C99" s="14">
        <f>1/4</f>
        <v>0.25</v>
      </c>
      <c r="D99" s="6">
        <f t="shared" ref="D99:D101" si="21">C99/C$102</f>
        <v>0.2608695652173913</v>
      </c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25"/>
    </row>
    <row r="100" spans="1:23">
      <c r="A100" s="24"/>
      <c r="B100" s="14" t="s">
        <v>55</v>
      </c>
      <c r="C100" s="14">
        <f>1/8</f>
        <v>0.125</v>
      </c>
      <c r="D100" s="6">
        <f>C100/C$102</f>
        <v>0.13043478260869565</v>
      </c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25"/>
    </row>
    <row r="101" spans="1:23">
      <c r="A101" s="24"/>
      <c r="B101" s="15" t="s">
        <v>56</v>
      </c>
      <c r="C101" s="15">
        <f>1/4</f>
        <v>0.25</v>
      </c>
      <c r="D101" s="9">
        <f>C101/C$102</f>
        <v>0.2608695652173913</v>
      </c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25"/>
    </row>
    <row r="102" spans="1:23">
      <c r="A102" s="24"/>
      <c r="B102" s="5"/>
      <c r="C102" s="5">
        <f>SUM(C98:C101)</f>
        <v>0.95833333333333326</v>
      </c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25"/>
    </row>
    <row r="103" spans="1:23">
      <c r="A103" s="24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25"/>
    </row>
    <row r="104" spans="1:23">
      <c r="A104" s="24"/>
      <c r="B104" s="13" t="s">
        <v>30</v>
      </c>
      <c r="C104" s="13" t="s">
        <v>52</v>
      </c>
      <c r="D104" s="12" t="s">
        <v>47</v>
      </c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25"/>
    </row>
    <row r="105" spans="1:23">
      <c r="A105" s="24"/>
      <c r="B105" s="14" t="s">
        <v>53</v>
      </c>
      <c r="C105" s="14">
        <f>1/4</f>
        <v>0.25</v>
      </c>
      <c r="D105" s="6">
        <f>C105/C$109</f>
        <v>0.1875</v>
      </c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25"/>
    </row>
    <row r="106" spans="1:23">
      <c r="A106" s="24"/>
      <c r="B106" s="14" t="s">
        <v>54</v>
      </c>
      <c r="C106" s="14">
        <f>1/3</f>
        <v>0.33333333333333331</v>
      </c>
      <c r="D106" s="6">
        <f t="shared" ref="D106:D108" si="22">C106/C$109</f>
        <v>0.25</v>
      </c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25"/>
    </row>
    <row r="107" spans="1:23">
      <c r="A107" s="24"/>
      <c r="B107" s="14" t="s">
        <v>55</v>
      </c>
      <c r="C107" s="14">
        <f>1/4</f>
        <v>0.25</v>
      </c>
      <c r="D107" s="6">
        <f t="shared" si="22"/>
        <v>0.1875</v>
      </c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25"/>
    </row>
    <row r="108" spans="1:23">
      <c r="A108" s="24"/>
      <c r="B108" s="15" t="s">
        <v>56</v>
      </c>
      <c r="C108" s="15">
        <f>1/2</f>
        <v>0.5</v>
      </c>
      <c r="D108" s="9">
        <f t="shared" si="22"/>
        <v>0.375</v>
      </c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25"/>
    </row>
    <row r="109" spans="1:23">
      <c r="A109" s="24"/>
      <c r="B109" s="5"/>
      <c r="C109" s="5">
        <f>SUM(C105:C108)</f>
        <v>1.3333333333333333</v>
      </c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25"/>
    </row>
    <row r="110" spans="1:23">
      <c r="A110" s="24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25"/>
    </row>
    <row r="111" spans="1:23">
      <c r="A111" s="24"/>
      <c r="B111" s="13" t="s">
        <v>31</v>
      </c>
      <c r="C111" s="13" t="s">
        <v>52</v>
      </c>
      <c r="D111" s="12" t="s">
        <v>48</v>
      </c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25"/>
    </row>
    <row r="112" spans="1:23">
      <c r="A112" s="24"/>
      <c r="B112" s="14" t="s">
        <v>53</v>
      </c>
      <c r="C112" s="14">
        <v>8</v>
      </c>
      <c r="D112" s="6">
        <f>C112/C$116</f>
        <v>0.42105263157894735</v>
      </c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25"/>
    </row>
    <row r="113" spans="1:23">
      <c r="A113" s="24"/>
      <c r="B113" s="14" t="s">
        <v>54</v>
      </c>
      <c r="C113" s="14">
        <v>3</v>
      </c>
      <c r="D113" s="6">
        <f t="shared" ref="D113:D115" si="23">C113/C$116</f>
        <v>0.15789473684210525</v>
      </c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25"/>
    </row>
    <row r="114" spans="1:23">
      <c r="A114" s="24"/>
      <c r="B114" s="14" t="s">
        <v>55</v>
      </c>
      <c r="C114" s="14">
        <v>6</v>
      </c>
      <c r="D114" s="6">
        <f t="shared" si="23"/>
        <v>0.31578947368421051</v>
      </c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25"/>
    </row>
    <row r="115" spans="1:23">
      <c r="A115" s="24"/>
      <c r="B115" s="15" t="s">
        <v>56</v>
      </c>
      <c r="C115" s="15">
        <v>2</v>
      </c>
      <c r="D115" s="9">
        <f t="shared" si="23"/>
        <v>0.10526315789473684</v>
      </c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25"/>
    </row>
    <row r="116" spans="1:23">
      <c r="A116" s="24"/>
      <c r="B116" s="5"/>
      <c r="C116" s="5">
        <f>SUM(C112:C115)</f>
        <v>19</v>
      </c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25"/>
    </row>
    <row r="117" spans="1:23">
      <c r="A117" s="24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25"/>
    </row>
    <row r="118" spans="1:23">
      <c r="A118" s="24"/>
      <c r="B118" s="13" t="s">
        <v>35</v>
      </c>
      <c r="C118" s="13" t="s">
        <v>59</v>
      </c>
      <c r="D118" s="12" t="s">
        <v>49</v>
      </c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25"/>
    </row>
    <row r="119" spans="1:23">
      <c r="A119" s="24"/>
      <c r="B119" s="14" t="s">
        <v>53</v>
      </c>
      <c r="C119" s="14" t="s">
        <v>40</v>
      </c>
      <c r="D119" s="6">
        <f>C77</f>
        <v>0.5</v>
      </c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25"/>
    </row>
    <row r="120" spans="1:23">
      <c r="A120" s="24"/>
      <c r="B120" s="14" t="s">
        <v>54</v>
      </c>
      <c r="C120" s="14" t="s">
        <v>42</v>
      </c>
      <c r="D120" s="6">
        <f>C79</f>
        <v>0.15</v>
      </c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25"/>
    </row>
    <row r="121" spans="1:23">
      <c r="A121" s="24"/>
      <c r="B121" s="14" t="s">
        <v>55</v>
      </c>
      <c r="C121" s="14" t="s">
        <v>41</v>
      </c>
      <c r="D121" s="6">
        <f>C78</f>
        <v>0.25</v>
      </c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25"/>
    </row>
    <row r="122" spans="1:23">
      <c r="A122" s="24"/>
      <c r="B122" s="15" t="s">
        <v>56</v>
      </c>
      <c r="C122" s="15" t="s">
        <v>43</v>
      </c>
      <c r="D122" s="9">
        <f t="shared" ref="D120:D122" si="24">C80</f>
        <v>0.1</v>
      </c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25"/>
    </row>
    <row r="123" spans="1:23">
      <c r="A123" s="24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25"/>
    </row>
    <row r="124" spans="1:23">
      <c r="A124" s="24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25"/>
    </row>
    <row r="125" spans="1:23">
      <c r="A125" s="24"/>
      <c r="B125" s="13" t="s">
        <v>36</v>
      </c>
      <c r="C125" s="13" t="s">
        <v>59</v>
      </c>
      <c r="D125" s="12" t="s">
        <v>50</v>
      </c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25"/>
    </row>
    <row r="126" spans="1:23">
      <c r="A126" s="24"/>
      <c r="B126" s="14" t="s">
        <v>53</v>
      </c>
      <c r="C126" s="14" t="s">
        <v>40</v>
      </c>
      <c r="D126" s="6">
        <f>C77</f>
        <v>0.5</v>
      </c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25"/>
    </row>
    <row r="127" spans="1:23">
      <c r="A127" s="24"/>
      <c r="B127" s="14" t="s">
        <v>54</v>
      </c>
      <c r="C127" s="14" t="s">
        <v>43</v>
      </c>
      <c r="D127" s="6">
        <f>C80</f>
        <v>0.1</v>
      </c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25"/>
    </row>
    <row r="128" spans="1:23">
      <c r="A128" s="24"/>
      <c r="B128" s="14" t="s">
        <v>55</v>
      </c>
      <c r="C128" s="14" t="s">
        <v>42</v>
      </c>
      <c r="D128" s="6">
        <f>C79</f>
        <v>0.15</v>
      </c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25"/>
    </row>
    <row r="129" spans="1:23">
      <c r="A129" s="24"/>
      <c r="B129" s="15" t="s">
        <v>56</v>
      </c>
      <c r="C129" s="15" t="s">
        <v>41</v>
      </c>
      <c r="D129" s="9">
        <f>C78</f>
        <v>0.25</v>
      </c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25"/>
    </row>
    <row r="130" spans="1:23" ht="15.75" thickBot="1">
      <c r="A130" s="26"/>
      <c r="B130" s="27"/>
      <c r="C130" s="27"/>
      <c r="D130" s="27"/>
      <c r="E130" s="27"/>
      <c r="F130" s="27"/>
      <c r="G130" s="27"/>
      <c r="H130" s="27"/>
      <c r="I130" s="27"/>
      <c r="J130" s="27"/>
      <c r="K130" s="27"/>
      <c r="L130" s="27"/>
      <c r="M130" s="27"/>
      <c r="N130" s="27"/>
      <c r="O130" s="27"/>
      <c r="P130" s="27"/>
      <c r="Q130" s="27"/>
      <c r="R130" s="27"/>
      <c r="S130" s="27"/>
      <c r="T130" s="27"/>
      <c r="U130" s="27"/>
      <c r="V130" s="27"/>
      <c r="W130" s="28"/>
    </row>
  </sheetData>
  <mergeCells count="1">
    <mergeCell ref="C1:H1"/>
  </mergeCells>
  <pageMargins left="0.7" right="0.7" top="0.75" bottom="0.75" header="0.3" footer="0.3"/>
  <pageSetup paperSize="9"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Andrey</dc:creator>
  <cp:keywords/>
  <dc:description/>
  <cp:lastModifiedBy>Дмитрий Власов</cp:lastModifiedBy>
  <cp:revision/>
  <dcterms:created xsi:type="dcterms:W3CDTF">2025-09-30T05:00:43Z</dcterms:created>
  <dcterms:modified xsi:type="dcterms:W3CDTF">2025-09-30T05:00:43Z</dcterms:modified>
  <cp:category/>
  <cp:contentStatus/>
</cp:coreProperties>
</file>