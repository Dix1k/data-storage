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03"/>
  <workbookPr/>
  <mc:AlternateContent xmlns:mc="http://schemas.openxmlformats.org/markup-compatibility/2006">
    <mc:Choice Requires="x15">
      <x15ac:absPath xmlns:x15ac="http://schemas.microsoft.com/office/spreadsheetml/2010/11/ac" url="C:\Users\dix1k\Documents\GitHub\PGATU\ТССА\"/>
    </mc:Choice>
  </mc:AlternateContent>
  <xr:revisionPtr revIDLastSave="0" documentId="8_{F07B84EF-5A0B-4866-B830-313888D1C6FB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Задача с доски" sheetId="1" r:id="rId1"/>
    <sheet name="Задача МАИ стандарты" sheetId="2" r:id="rId2"/>
    <sheet name="Задача Варианты выдачи кредита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3" i="3" l="1"/>
  <c r="E54" i="3"/>
  <c r="E55" i="3"/>
  <c r="E56" i="3"/>
  <c r="P21" i="3"/>
  <c r="P22" i="3"/>
  <c r="P23" i="3"/>
  <c r="P24" i="3"/>
  <c r="P25" i="3"/>
  <c r="P26" i="3"/>
  <c r="P20" i="3"/>
  <c r="N27" i="3"/>
  <c r="N26" i="3"/>
  <c r="N25" i="3"/>
  <c r="N24" i="3"/>
  <c r="N23" i="3"/>
  <c r="N22" i="3"/>
  <c r="N21" i="3"/>
  <c r="N20" i="3"/>
  <c r="K26" i="3"/>
  <c r="K25" i="3"/>
  <c r="J24" i="3"/>
  <c r="J23" i="3"/>
  <c r="I22" i="3"/>
  <c r="I21" i="3"/>
  <c r="I20" i="3"/>
  <c r="P13" i="3"/>
  <c r="C14" i="3"/>
  <c r="D14" i="3"/>
  <c r="D12" i="3"/>
  <c r="D36" i="3"/>
  <c r="E36" i="3"/>
  <c r="F36" i="3"/>
  <c r="G36" i="3"/>
  <c r="H36" i="3"/>
  <c r="I36" i="3"/>
  <c r="C36" i="3"/>
  <c r="K22" i="2"/>
  <c r="K20" i="2"/>
  <c r="K21" i="2"/>
  <c r="K19" i="2"/>
  <c r="J24" i="2"/>
  <c r="I24" i="2"/>
  <c r="H24" i="2"/>
  <c r="J20" i="2"/>
  <c r="J21" i="2"/>
  <c r="J22" i="2"/>
  <c r="J19" i="2"/>
  <c r="I20" i="2"/>
  <c r="I21" i="2"/>
  <c r="I22" i="2"/>
  <c r="I19" i="2"/>
  <c r="H20" i="2"/>
  <c r="H21" i="2"/>
  <c r="H22" i="2"/>
  <c r="H19" i="2"/>
  <c r="D23" i="2"/>
  <c r="E23" i="2"/>
  <c r="C23" i="2"/>
  <c r="F11" i="2"/>
  <c r="C43" i="3" l="1"/>
  <c r="C44" i="3"/>
  <c r="C45" i="3"/>
  <c r="C42" i="3"/>
  <c r="I42" i="3"/>
  <c r="I43" i="3"/>
  <c r="I44" i="3"/>
  <c r="I45" i="3"/>
  <c r="H42" i="3"/>
  <c r="H43" i="3"/>
  <c r="H44" i="3"/>
  <c r="H45" i="3"/>
  <c r="G43" i="3"/>
  <c r="G42" i="3"/>
  <c r="G44" i="3"/>
  <c r="G45" i="3"/>
  <c r="F45" i="3"/>
  <c r="F44" i="3"/>
  <c r="F43" i="3"/>
  <c r="F42" i="3"/>
  <c r="E42" i="3"/>
  <c r="E43" i="3"/>
  <c r="E44" i="3"/>
  <c r="E45" i="3"/>
  <c r="D43" i="3"/>
  <c r="D44" i="3"/>
  <c r="D45" i="3"/>
  <c r="D42" i="3"/>
  <c r="R13" i="3"/>
  <c r="R12" i="3"/>
  <c r="L13" i="3"/>
  <c r="L12" i="3"/>
  <c r="F13" i="3"/>
  <c r="F14" i="3"/>
  <c r="F12" i="3"/>
  <c r="M5" i="3"/>
  <c r="L4" i="3"/>
  <c r="K3" i="3"/>
  <c r="R14" i="3" l="1"/>
  <c r="L14" i="3"/>
  <c r="F15" i="3"/>
  <c r="E4" i="3"/>
  <c r="C4" i="3"/>
  <c r="F4" i="3"/>
  <c r="F5" i="3"/>
  <c r="F3" i="3"/>
  <c r="C12" i="2"/>
  <c r="D13" i="2"/>
  <c r="C13" i="2"/>
  <c r="F13" i="2"/>
  <c r="F12" i="2"/>
  <c r="S13" i="3" l="1"/>
  <c r="E26" i="3" s="1"/>
  <c r="S12" i="3"/>
  <c r="E25" i="3" s="1"/>
  <c r="G12" i="3"/>
  <c r="C20" i="3" s="1"/>
  <c r="G13" i="3"/>
  <c r="C21" i="3" s="1"/>
  <c r="G14" i="3"/>
  <c r="C22" i="3" s="1"/>
  <c r="M13" i="3"/>
  <c r="D24" i="3" s="1"/>
  <c r="M12" i="3"/>
  <c r="D23" i="3" s="1"/>
  <c r="F6" i="3"/>
  <c r="F14" i="2"/>
  <c r="G4" i="3" l="1"/>
  <c r="L7" i="3" s="1"/>
  <c r="G5" i="3"/>
  <c r="M7" i="3" s="1"/>
  <c r="G3" i="3"/>
  <c r="K7" i="3" s="1"/>
  <c r="G13" i="2"/>
  <c r="G12" i="2"/>
  <c r="G11" i="2"/>
  <c r="C12" i="1"/>
  <c r="V13" i="1"/>
  <c r="V12" i="1"/>
  <c r="U13" i="1"/>
  <c r="U12" i="1"/>
  <c r="T13" i="1"/>
  <c r="T12" i="1"/>
  <c r="S13" i="1"/>
  <c r="S12" i="1"/>
  <c r="R13" i="1"/>
  <c r="R12" i="1"/>
  <c r="Q13" i="1"/>
  <c r="Q12" i="1"/>
  <c r="P13" i="1"/>
  <c r="P12" i="1"/>
  <c r="O13" i="1"/>
  <c r="O12" i="1"/>
  <c r="K19" i="1"/>
  <c r="K18" i="1"/>
  <c r="K17" i="1"/>
  <c r="J16" i="1"/>
  <c r="J15" i="1"/>
  <c r="J14" i="1"/>
  <c r="I13" i="1"/>
  <c r="I12" i="1"/>
  <c r="E16" i="1"/>
  <c r="D16" i="1"/>
  <c r="C16" i="1"/>
  <c r="E14" i="1"/>
  <c r="D13" i="1"/>
  <c r="N4" i="3" l="1"/>
  <c r="D28" i="3" s="1"/>
  <c r="N5" i="3"/>
  <c r="E28" i="3" s="1"/>
  <c r="N3" i="3"/>
  <c r="C28" i="3" s="1"/>
  <c r="F14" i="1"/>
  <c r="K21" i="1" s="1"/>
  <c r="F12" i="1"/>
  <c r="I21" i="1" s="1"/>
  <c r="F13" i="1"/>
  <c r="J21" i="1" s="1"/>
  <c r="L19" i="1"/>
  <c r="V15" i="1" s="1"/>
  <c r="L16" i="1"/>
  <c r="S15" i="1" s="1"/>
  <c r="L17" i="1"/>
  <c r="T15" i="1" s="1"/>
  <c r="L18" i="1"/>
  <c r="U15" i="1" s="1"/>
  <c r="L15" i="1"/>
  <c r="R15" i="1" s="1"/>
  <c r="L14" i="1"/>
  <c r="Q15" i="1" s="1"/>
  <c r="F23" i="3" l="1"/>
  <c r="F47" i="3" s="1"/>
  <c r="F25" i="3"/>
  <c r="H47" i="3" s="1"/>
  <c r="F21" i="3"/>
  <c r="D47" i="3" s="1"/>
  <c r="F26" i="3"/>
  <c r="I47" i="3" s="1"/>
  <c r="F20" i="3"/>
  <c r="C47" i="3" s="1"/>
  <c r="F22" i="3"/>
  <c r="E47" i="3" s="1"/>
  <c r="F24" i="3"/>
  <c r="G47" i="3" s="1"/>
  <c r="L12" i="1"/>
  <c r="O15" i="1" s="1"/>
  <c r="L13" i="1"/>
  <c r="P15" i="1" s="1"/>
  <c r="W13" i="1"/>
  <c r="AA17" i="1" s="1"/>
  <c r="W12" i="1"/>
  <c r="Z17" i="1" s="1"/>
  <c r="AB15" i="1" s="1"/>
  <c r="J43" i="3" l="1"/>
  <c r="J44" i="3"/>
  <c r="J45" i="3"/>
  <c r="J42" i="3"/>
  <c r="AB12" i="1"/>
  <c r="AB14" i="1"/>
  <c r="AB13" i="1"/>
</calcChain>
</file>

<file path=xl/sharedStrings.xml><?xml version="1.0" encoding="utf-8"?>
<sst xmlns="http://schemas.openxmlformats.org/spreadsheetml/2006/main" count="181" uniqueCount="60">
  <si>
    <t>НЛПц</t>
  </si>
  <si>
    <t>НЛПк1</t>
  </si>
  <si>
    <t>НЛПк2</t>
  </si>
  <si>
    <t>НЛПк3</t>
  </si>
  <si>
    <t>НЛПк4</t>
  </si>
  <si>
    <t>НЛПк5</t>
  </si>
  <si>
    <t>НЛПк6</t>
  </si>
  <si>
    <t>НЛПк7</t>
  </si>
  <si>
    <t>НЛПк8</t>
  </si>
  <si>
    <t>НЛПк9</t>
  </si>
  <si>
    <t>НЛПк10</t>
  </si>
  <si>
    <t>НЛПк11</t>
  </si>
  <si>
    <t>НЛПк12</t>
  </si>
  <si>
    <t>НЛПк13</t>
  </si>
  <si>
    <t>L=</t>
  </si>
  <si>
    <t>к1</t>
  </si>
  <si>
    <t>к2</t>
  </si>
  <si>
    <t>к3</t>
  </si>
  <si>
    <t>M=</t>
  </si>
  <si>
    <t>ГПК</t>
  </si>
  <si>
    <t>к4</t>
  </si>
  <si>
    <t>к5</t>
  </si>
  <si>
    <t>к6</t>
  </si>
  <si>
    <t>к7</t>
  </si>
  <si>
    <t>к8</t>
  </si>
  <si>
    <t>к9</t>
  </si>
  <si>
    <t>к10</t>
  </si>
  <si>
    <t>к11</t>
  </si>
  <si>
    <t>к12</t>
  </si>
  <si>
    <t>к13</t>
  </si>
  <si>
    <t>ГПА</t>
  </si>
  <si>
    <t>а1</t>
  </si>
  <si>
    <t>а2</t>
  </si>
  <si>
    <t>а3</t>
  </si>
  <si>
    <t>а4</t>
  </si>
  <si>
    <t>ц</t>
  </si>
  <si>
    <t>ЛП</t>
  </si>
  <si>
    <t>Э</t>
  </si>
  <si>
    <t>Ф</t>
  </si>
  <si>
    <t>Ю</t>
  </si>
  <si>
    <t>НЛП</t>
  </si>
  <si>
    <t>ГПК2</t>
  </si>
  <si>
    <t>нормиров</t>
  </si>
  <si>
    <t>*L=</t>
  </si>
  <si>
    <t>*НЛПц=</t>
  </si>
  <si>
    <t>закон</t>
  </si>
  <si>
    <t>станд</t>
  </si>
  <si>
    <t>НЛПз</t>
  </si>
  <si>
    <t>Валюта</t>
  </si>
  <si>
    <t>HH</t>
  </si>
  <si>
    <t>Металл</t>
  </si>
  <si>
    <t>LM</t>
  </si>
  <si>
    <t>Бумаги</t>
  </si>
  <si>
    <t>HM</t>
  </si>
  <si>
    <t>Недвиж</t>
  </si>
  <si>
    <t>LL</t>
  </si>
  <si>
    <t>гарант</t>
  </si>
  <si>
    <t>НЛПг</t>
  </si>
  <si>
    <t>M2</t>
  </si>
  <si>
    <t>м2 * ГПк2=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</si>
</sst>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5" xfId="0" applyBorder="1"/>
    <xf numFmtId="0" fontId="0" fillId="0" borderId="14" xfId="0" applyBorder="1"/>
    <xf numFmtId="0" fontId="0" fillId="0" borderId="7" xfId="0" applyBorder="1"/>
    <xf numFmtId="0" fontId="1" fillId="0" borderId="1" xfId="0" applyFont="1" applyBorder="1" applyAlignment="1"/>
    <xf numFmtId="0" fontId="1" fillId="0" borderId="12" xfId="0" applyFont="1" applyBorder="1" applyAlignment="1"/>
    <xf numFmtId="0" fontId="1" fillId="0" borderId="9" xfId="0" applyFont="1" applyBorder="1" applyAlignment="1"/>
    <xf numFmtId="0" fontId="1" fillId="0" borderId="5" xfId="0" applyFont="1" applyBorder="1" applyAlignment="1"/>
    <xf numFmtId="0" fontId="1" fillId="0" borderId="10" xfId="0" applyFont="1" applyBorder="1" applyAlignment="1"/>
    <xf numFmtId="0" fontId="1" fillId="0" borderId="7" xfId="0" applyFont="1" applyBorder="1" applyAlignment="1"/>
    <xf numFmtId="0" fontId="1" fillId="0" borderId="0" xfId="0" applyFont="1" applyBorder="1" applyAlignment="1"/>
    <xf numFmtId="0" fontId="0" fillId="2" borderId="0" xfId="0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B21"/>
  <sheetViews>
    <sheetView workbookViewId="0">
      <selection activeCell="B25" sqref="B25"/>
    </sheetView>
  </sheetViews>
  <sheetFormatPr defaultRowHeight="15"/>
  <cols>
    <col min="1" max="16384" width="9.140625" style="2"/>
  </cols>
  <sheetData>
    <row r="2" spans="2:28">
      <c r="B2" s="3" t="s">
        <v>0</v>
      </c>
      <c r="C2" s="14" t="s">
        <v>1</v>
      </c>
      <c r="D2" s="14" t="s">
        <v>2</v>
      </c>
      <c r="E2" s="14" t="s">
        <v>3</v>
      </c>
      <c r="F2" s="14" t="s">
        <v>4</v>
      </c>
      <c r="G2" s="14" t="s">
        <v>5</v>
      </c>
      <c r="H2" s="14" t="s">
        <v>6</v>
      </c>
      <c r="I2" s="14" t="s">
        <v>7</v>
      </c>
      <c r="J2" s="14" t="s">
        <v>8</v>
      </c>
      <c r="K2" s="14" t="s">
        <v>9</v>
      </c>
      <c r="L2" s="14" t="s">
        <v>10</v>
      </c>
      <c r="M2" s="14" t="s">
        <v>11</v>
      </c>
      <c r="N2" s="14" t="s">
        <v>12</v>
      </c>
      <c r="O2" s="4" t="s">
        <v>13</v>
      </c>
    </row>
    <row r="3" spans="2:28">
      <c r="B3" s="5">
        <v>0.5</v>
      </c>
      <c r="C3" s="15">
        <v>0.4</v>
      </c>
      <c r="D3" s="15">
        <v>0.1</v>
      </c>
      <c r="E3" s="15">
        <v>0.5</v>
      </c>
      <c r="F3" s="15">
        <v>0.5</v>
      </c>
      <c r="G3" s="15">
        <v>0.7</v>
      </c>
      <c r="H3" s="15">
        <v>0.8</v>
      </c>
      <c r="I3" s="15">
        <v>0.3</v>
      </c>
      <c r="J3" s="15">
        <v>0.4</v>
      </c>
      <c r="K3" s="15">
        <v>0.5</v>
      </c>
      <c r="L3" s="15">
        <v>0.3</v>
      </c>
      <c r="M3" s="15">
        <v>0.8</v>
      </c>
      <c r="N3" s="15">
        <v>0.1</v>
      </c>
      <c r="O3" s="6">
        <v>0.3</v>
      </c>
    </row>
    <row r="4" spans="2:28">
      <c r="B4" s="5">
        <v>0.2</v>
      </c>
      <c r="C4" s="15">
        <v>0.6</v>
      </c>
      <c r="D4" s="15">
        <v>0.7</v>
      </c>
      <c r="E4" s="15">
        <v>0.1</v>
      </c>
      <c r="F4" s="15">
        <v>0.5</v>
      </c>
      <c r="G4" s="15">
        <v>0.3</v>
      </c>
      <c r="H4" s="15">
        <v>0.2</v>
      </c>
      <c r="I4" s="15">
        <v>0.7</v>
      </c>
      <c r="J4" s="15">
        <v>0.6</v>
      </c>
      <c r="K4" s="15">
        <v>0.5</v>
      </c>
      <c r="L4" s="15">
        <v>0.7</v>
      </c>
      <c r="M4" s="15">
        <v>0.2</v>
      </c>
      <c r="N4" s="15">
        <v>0.3</v>
      </c>
      <c r="O4" s="6">
        <v>0.3</v>
      </c>
    </row>
    <row r="5" spans="2:28">
      <c r="B5" s="5">
        <v>0.3</v>
      </c>
      <c r="C5" s="15"/>
      <c r="D5" s="15">
        <v>0.2</v>
      </c>
      <c r="E5" s="15">
        <v>0.4</v>
      </c>
      <c r="F5" s="15"/>
      <c r="G5" s="15"/>
      <c r="H5" s="15"/>
      <c r="I5" s="15"/>
      <c r="J5" s="15"/>
      <c r="K5" s="15"/>
      <c r="L5" s="15"/>
      <c r="M5" s="15"/>
      <c r="N5" s="15">
        <v>0.2</v>
      </c>
      <c r="O5" s="6">
        <v>0.1</v>
      </c>
    </row>
    <row r="6" spans="2:28">
      <c r="B6" s="7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>
        <v>0.4</v>
      </c>
      <c r="O6" s="8">
        <v>0.3</v>
      </c>
    </row>
    <row r="11" spans="2:28">
      <c r="B11" s="1" t="s">
        <v>14</v>
      </c>
      <c r="C11" s="12" t="s">
        <v>15</v>
      </c>
      <c r="D11" s="17" t="s">
        <v>16</v>
      </c>
      <c r="E11" s="13" t="s">
        <v>17</v>
      </c>
      <c r="H11" s="1" t="s">
        <v>18</v>
      </c>
      <c r="I11" s="12" t="s">
        <v>15</v>
      </c>
      <c r="J11" s="17" t="s">
        <v>16</v>
      </c>
      <c r="K11" s="13" t="s">
        <v>17</v>
      </c>
      <c r="L11" s="1" t="s">
        <v>19</v>
      </c>
      <c r="O11" s="12" t="s">
        <v>20</v>
      </c>
      <c r="P11" s="17" t="s">
        <v>21</v>
      </c>
      <c r="Q11" s="17" t="s">
        <v>22</v>
      </c>
      <c r="R11" s="17" t="s">
        <v>23</v>
      </c>
      <c r="S11" s="17" t="s">
        <v>24</v>
      </c>
      <c r="T11" s="17" t="s">
        <v>25</v>
      </c>
      <c r="U11" s="17" t="s">
        <v>26</v>
      </c>
      <c r="V11" s="13" t="s">
        <v>27</v>
      </c>
      <c r="W11" s="1" t="s">
        <v>19</v>
      </c>
      <c r="Z11" s="12" t="s">
        <v>28</v>
      </c>
      <c r="AA11" s="17" t="s">
        <v>29</v>
      </c>
      <c r="AB11" s="1" t="s">
        <v>30</v>
      </c>
    </row>
    <row r="12" spans="2:28">
      <c r="B12" s="9" t="s">
        <v>15</v>
      </c>
      <c r="C12" s="3">
        <f>2/8</f>
        <v>0.25</v>
      </c>
      <c r="D12" s="14">
        <v>0</v>
      </c>
      <c r="E12" s="4">
        <v>0</v>
      </c>
      <c r="F12" s="9">
        <f>SUMPRODUCT(C12:E12,$C$16:$E$16)</f>
        <v>0.125</v>
      </c>
      <c r="H12" s="9" t="s">
        <v>20</v>
      </c>
      <c r="I12" s="3">
        <f>C3</f>
        <v>0.4</v>
      </c>
      <c r="J12" s="14">
        <v>0</v>
      </c>
      <c r="K12" s="4">
        <v>0</v>
      </c>
      <c r="L12" s="9">
        <f>SUMPRODUCT(I12:K12,$I$21:$K$21)</f>
        <v>0.05</v>
      </c>
      <c r="N12" s="9" t="s">
        <v>28</v>
      </c>
      <c r="O12" s="3">
        <f>F3</f>
        <v>0.5</v>
      </c>
      <c r="P12" s="14">
        <f>G3</f>
        <v>0.7</v>
      </c>
      <c r="Q12" s="14">
        <f>H3</f>
        <v>0.8</v>
      </c>
      <c r="R12" s="14">
        <f>I3</f>
        <v>0.3</v>
      </c>
      <c r="S12" s="14">
        <f>J3</f>
        <v>0.4</v>
      </c>
      <c r="T12" s="14">
        <f>K3</f>
        <v>0.5</v>
      </c>
      <c r="U12" s="14">
        <f>L3</f>
        <v>0.3</v>
      </c>
      <c r="V12" s="4">
        <f>M3</f>
        <v>0.8</v>
      </c>
      <c r="W12" s="6">
        <f>SUMPRODUCT(O12:V12,$O$15:$V$15)</f>
        <v>0.17275000000000001</v>
      </c>
      <c r="Y12" s="9" t="s">
        <v>31</v>
      </c>
      <c r="Z12" s="15">
        <v>0.1</v>
      </c>
      <c r="AA12" s="6">
        <v>0.3</v>
      </c>
      <c r="AB12" s="10">
        <f>SUMPRODUCT(Z12:AA12,$Z$17:$AA$17)</f>
        <v>5.9200000000000003E-2</v>
      </c>
    </row>
    <row r="13" spans="2:28">
      <c r="B13" s="10" t="s">
        <v>16</v>
      </c>
      <c r="C13" s="5">
        <v>0</v>
      </c>
      <c r="D13" s="15">
        <f>3/8</f>
        <v>0.375</v>
      </c>
      <c r="E13" s="6">
        <v>0</v>
      </c>
      <c r="F13" s="10">
        <f>SUMPRODUCT(C13:E13,$C$16:$E$16)</f>
        <v>7.5000000000000011E-2</v>
      </c>
      <c r="H13" s="10" t="s">
        <v>21</v>
      </c>
      <c r="I13" s="5">
        <f>C4</f>
        <v>0.6</v>
      </c>
      <c r="J13" s="15">
        <v>0</v>
      </c>
      <c r="K13" s="6">
        <v>0</v>
      </c>
      <c r="L13" s="10">
        <f>SUMPRODUCT(I13:K13,$I$21:$K$21)</f>
        <v>7.4999999999999997E-2</v>
      </c>
      <c r="N13" s="11" t="s">
        <v>29</v>
      </c>
      <c r="O13" s="7">
        <f>F4</f>
        <v>0.5</v>
      </c>
      <c r="P13" s="16">
        <f>G4</f>
        <v>0.3</v>
      </c>
      <c r="Q13" s="16">
        <f>H4</f>
        <v>0.2</v>
      </c>
      <c r="R13" s="16">
        <f>I4</f>
        <v>0.7</v>
      </c>
      <c r="S13" s="16">
        <f>J4</f>
        <v>0.6</v>
      </c>
      <c r="T13" s="16">
        <f>K4</f>
        <v>0.5</v>
      </c>
      <c r="U13" s="16">
        <f>L4</f>
        <v>0.7</v>
      </c>
      <c r="V13" s="8">
        <f>M4</f>
        <v>0.2</v>
      </c>
      <c r="W13" s="8">
        <f>SUMPRODUCT(O13:V13,$O$15:$V$15)</f>
        <v>0.13975000000000001</v>
      </c>
      <c r="Y13" s="10" t="s">
        <v>32</v>
      </c>
      <c r="Z13" s="15">
        <v>0.3</v>
      </c>
      <c r="AA13" s="6">
        <v>0.3</v>
      </c>
      <c r="AB13" s="10">
        <f>SUMPRODUCT(Z13:AA13,$Z$17:$AA$17)</f>
        <v>9.375E-2</v>
      </c>
    </row>
    <row r="14" spans="2:28">
      <c r="B14" s="11" t="s">
        <v>17</v>
      </c>
      <c r="C14" s="7">
        <v>0</v>
      </c>
      <c r="D14" s="16">
        <v>0</v>
      </c>
      <c r="E14" s="8">
        <f>3/8</f>
        <v>0.375</v>
      </c>
      <c r="F14" s="11">
        <f>SUMPRODUCT(C14:E14,$C$16:$E$16)</f>
        <v>0.11249999999999999</v>
      </c>
      <c r="H14" s="10" t="s">
        <v>22</v>
      </c>
      <c r="I14" s="5">
        <v>0</v>
      </c>
      <c r="J14" s="15">
        <f>D3</f>
        <v>0.1</v>
      </c>
      <c r="K14" s="6">
        <v>0</v>
      </c>
      <c r="L14" s="10">
        <f>SUMPRODUCT(I14:K14,$I$21:$K$21)</f>
        <v>7.5000000000000015E-3</v>
      </c>
      <c r="Y14" s="10" t="s">
        <v>33</v>
      </c>
      <c r="Z14" s="15">
        <v>0.2</v>
      </c>
      <c r="AA14" s="6">
        <v>0.1</v>
      </c>
      <c r="AB14" s="10">
        <f>SUMPRODUCT(Z14:AA14,$Z$17:$AA$17)</f>
        <v>4.8525000000000006E-2</v>
      </c>
    </row>
    <row r="15" spans="2:28">
      <c r="H15" s="10" t="s">
        <v>23</v>
      </c>
      <c r="I15" s="5">
        <v>0</v>
      </c>
      <c r="J15" s="15">
        <f>D4</f>
        <v>0.7</v>
      </c>
      <c r="K15" s="6">
        <v>0</v>
      </c>
      <c r="L15" s="10">
        <f>SUMPRODUCT(I15:K15,$I$21:$K$21)</f>
        <v>5.2500000000000005E-2</v>
      </c>
      <c r="O15" s="12">
        <f>L12</f>
        <v>0.05</v>
      </c>
      <c r="P15" s="17">
        <f>L13</f>
        <v>7.4999999999999997E-2</v>
      </c>
      <c r="Q15" s="17">
        <f>L14</f>
        <v>7.5000000000000015E-3</v>
      </c>
      <c r="R15" s="17">
        <f>L15</f>
        <v>5.2500000000000005E-2</v>
      </c>
      <c r="S15" s="17">
        <f>L16</f>
        <v>1.5000000000000003E-2</v>
      </c>
      <c r="T15" s="17">
        <f>L17</f>
        <v>5.6249999999999994E-2</v>
      </c>
      <c r="U15" s="17">
        <f>L18</f>
        <v>1.125E-2</v>
      </c>
      <c r="V15" s="13">
        <f>L19</f>
        <v>4.4999999999999998E-2</v>
      </c>
      <c r="Y15" s="11" t="s">
        <v>34</v>
      </c>
      <c r="Z15" s="16">
        <v>0.4</v>
      </c>
      <c r="AA15" s="8">
        <v>0.3</v>
      </c>
      <c r="AB15" s="11">
        <f>SUMPRODUCT(Z15:AA15,$Z$17:$AA$17)</f>
        <v>0.11102500000000001</v>
      </c>
    </row>
    <row r="16" spans="2:28">
      <c r="C16" s="12">
        <f>B3</f>
        <v>0.5</v>
      </c>
      <c r="D16" s="17">
        <f>B4</f>
        <v>0.2</v>
      </c>
      <c r="E16" s="13">
        <f>B5</f>
        <v>0.3</v>
      </c>
      <c r="H16" s="10" t="s">
        <v>24</v>
      </c>
      <c r="I16" s="5">
        <v>0</v>
      </c>
      <c r="J16" s="15">
        <f>D5</f>
        <v>0.2</v>
      </c>
      <c r="K16" s="6">
        <v>0</v>
      </c>
      <c r="L16" s="10">
        <f>SUMPRODUCT(I16:K16,$I$21:$K$21)</f>
        <v>1.5000000000000003E-2</v>
      </c>
    </row>
    <row r="17" spans="8:27">
      <c r="H17" s="10" t="s">
        <v>25</v>
      </c>
      <c r="I17" s="5">
        <v>0</v>
      </c>
      <c r="J17" s="15">
        <v>0</v>
      </c>
      <c r="K17" s="6">
        <f>E3</f>
        <v>0.5</v>
      </c>
      <c r="L17" s="10">
        <f>SUMPRODUCT(I17:K17,$I$21:$K$21)</f>
        <v>5.6249999999999994E-2</v>
      </c>
      <c r="Z17" s="12">
        <f>W12</f>
        <v>0.17275000000000001</v>
      </c>
      <c r="AA17" s="13">
        <f>W13</f>
        <v>0.13975000000000001</v>
      </c>
    </row>
    <row r="18" spans="8:27">
      <c r="H18" s="10" t="s">
        <v>26</v>
      </c>
      <c r="I18" s="5">
        <v>0</v>
      </c>
      <c r="J18" s="15">
        <v>0</v>
      </c>
      <c r="K18" s="6">
        <f>E4</f>
        <v>0.1</v>
      </c>
      <c r="L18" s="10">
        <f>SUMPRODUCT(I18:K18,$I$21:$K$21)</f>
        <v>1.125E-2</v>
      </c>
    </row>
    <row r="19" spans="8:27">
      <c r="H19" s="11" t="s">
        <v>27</v>
      </c>
      <c r="I19" s="7">
        <v>0</v>
      </c>
      <c r="J19" s="16">
        <v>0</v>
      </c>
      <c r="K19" s="8">
        <f>E5</f>
        <v>0.4</v>
      </c>
      <c r="L19" s="11">
        <f>SUMPRODUCT(I19:K19,$I$21:$K$21)</f>
        <v>4.4999999999999998E-2</v>
      </c>
    </row>
    <row r="21" spans="8:27">
      <c r="I21" s="12">
        <f>F12</f>
        <v>0.125</v>
      </c>
      <c r="J21" s="17">
        <f>F13</f>
        <v>7.5000000000000011E-2</v>
      </c>
      <c r="K21" s="13">
        <f>F14</f>
        <v>0.11249999999999999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3E19C-C87C-4F30-A4D0-478F80E3697E}">
  <dimension ref="B2:P24"/>
  <sheetViews>
    <sheetView workbookViewId="0">
      <selection activeCell="L24" sqref="L24"/>
    </sheetView>
  </sheetViews>
  <sheetFormatPr defaultRowHeight="15"/>
  <cols>
    <col min="1" max="16384" width="9.140625" style="2"/>
  </cols>
  <sheetData>
    <row r="2" spans="2:16">
      <c r="B2" s="3" t="s">
        <v>1</v>
      </c>
      <c r="C2" s="14" t="s">
        <v>2</v>
      </c>
      <c r="D2" s="4" t="s">
        <v>3</v>
      </c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3" spans="2:16">
      <c r="B3" s="5">
        <v>0.65</v>
      </c>
      <c r="C3" s="15">
        <v>0.6</v>
      </c>
      <c r="D3" s="6">
        <v>0.7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</row>
    <row r="4" spans="2:16">
      <c r="B4" s="5">
        <v>0.35</v>
      </c>
      <c r="C4" s="15">
        <v>0.3</v>
      </c>
      <c r="D4" s="6">
        <v>0.3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</row>
    <row r="5" spans="2:16">
      <c r="B5" s="7"/>
      <c r="C5" s="16">
        <v>0.1</v>
      </c>
      <c r="D5" s="8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spans="2:16"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</row>
    <row r="7" spans="2:16"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</row>
    <row r="10" spans="2:16">
      <c r="B10" s="1" t="s">
        <v>35</v>
      </c>
      <c r="C10" s="3" t="s">
        <v>15</v>
      </c>
      <c r="D10" s="14" t="s">
        <v>16</v>
      </c>
      <c r="E10" s="14" t="s">
        <v>17</v>
      </c>
      <c r="F10" s="9" t="s">
        <v>36</v>
      </c>
      <c r="G10" s="9" t="s">
        <v>0</v>
      </c>
    </row>
    <row r="11" spans="2:16">
      <c r="B11" s="3" t="s">
        <v>15</v>
      </c>
      <c r="C11" s="3">
        <v>1</v>
      </c>
      <c r="D11" s="14">
        <v>2</v>
      </c>
      <c r="E11" s="14">
        <v>5</v>
      </c>
      <c r="F11" s="9">
        <f>GEOMEAN(C11:E11)</f>
        <v>2.1544346900318838</v>
      </c>
      <c r="G11" s="4">
        <f>F11/$F$14</f>
        <v>0.59537901848746899</v>
      </c>
    </row>
    <row r="12" spans="2:16">
      <c r="B12" s="5" t="s">
        <v>16</v>
      </c>
      <c r="C12" s="5">
        <f>1/2</f>
        <v>0.5</v>
      </c>
      <c r="D12" s="15">
        <v>1</v>
      </c>
      <c r="E12" s="15">
        <v>2</v>
      </c>
      <c r="F12" s="10">
        <f t="shared" ref="F12:F13" si="0">GEOMEAN(C12:E12)</f>
        <v>1</v>
      </c>
      <c r="G12" s="6">
        <f>F12/$F$14</f>
        <v>0.27635046039787725</v>
      </c>
    </row>
    <row r="13" spans="2:16">
      <c r="B13" s="7" t="s">
        <v>17</v>
      </c>
      <c r="C13" s="7">
        <f>1/5</f>
        <v>0.2</v>
      </c>
      <c r="D13" s="16">
        <f>1/2</f>
        <v>0.5</v>
      </c>
      <c r="E13" s="16">
        <v>1</v>
      </c>
      <c r="F13" s="11">
        <f t="shared" si="0"/>
        <v>0.46415888336127792</v>
      </c>
      <c r="G13" s="8">
        <f>F13/$F$14</f>
        <v>0.12827052111465376</v>
      </c>
    </row>
    <row r="14" spans="2:16">
      <c r="F14" s="11">
        <f>SUM(F11:F13)</f>
        <v>3.6185935733931616</v>
      </c>
      <c r="N14" s="15"/>
    </row>
    <row r="18" spans="2:11">
      <c r="C18" s="12" t="s">
        <v>15</v>
      </c>
      <c r="D18" s="17" t="s">
        <v>16</v>
      </c>
      <c r="E18" s="13" t="s">
        <v>17</v>
      </c>
      <c r="F18" s="15"/>
      <c r="H18" s="3" t="s">
        <v>15</v>
      </c>
      <c r="I18" s="14" t="s">
        <v>16</v>
      </c>
      <c r="J18" s="4" t="s">
        <v>17</v>
      </c>
      <c r="K18" s="1" t="s">
        <v>19</v>
      </c>
    </row>
    <row r="19" spans="2:11">
      <c r="B19" s="9" t="s">
        <v>31</v>
      </c>
      <c r="C19" s="15">
        <v>0.65</v>
      </c>
      <c r="D19" s="15">
        <v>0.3</v>
      </c>
      <c r="E19" s="4">
        <v>0.3</v>
      </c>
      <c r="F19" s="15"/>
      <c r="G19" s="3" t="s">
        <v>31</v>
      </c>
      <c r="H19" s="3">
        <f>C19/$C$23</f>
        <v>0.32500000000000001</v>
      </c>
      <c r="I19" s="14">
        <f>D19/$D$23</f>
        <v>0.27272727272727271</v>
      </c>
      <c r="J19" s="4">
        <f>E19/$E$23</f>
        <v>0.18749999999999997</v>
      </c>
      <c r="K19" s="9">
        <f>SUMPRODUCT(H19:J19,$H$24:$J$24)</f>
        <v>0.2929172110986642</v>
      </c>
    </row>
    <row r="20" spans="2:11">
      <c r="B20" s="10" t="s">
        <v>32</v>
      </c>
      <c r="C20" s="15">
        <v>0.35</v>
      </c>
      <c r="D20" s="15">
        <v>0.1</v>
      </c>
      <c r="E20" s="6">
        <v>0.7</v>
      </c>
      <c r="F20" s="15"/>
      <c r="G20" s="5" t="s">
        <v>32</v>
      </c>
      <c r="H20" s="5">
        <f t="shared" ref="H20:H22" si="1">C20/$C$23</f>
        <v>0.17499999999999999</v>
      </c>
      <c r="I20" s="15">
        <f t="shared" ref="I20:I22" si="2">D20/$D$23</f>
        <v>9.0909090909090912E-2</v>
      </c>
      <c r="J20" s="6">
        <f t="shared" ref="J20:J22" si="3">E20/$E$23</f>
        <v>0.43749999999999994</v>
      </c>
      <c r="K20" s="10">
        <f t="shared" ref="K20:K22" si="4">SUMPRODUCT(H20:J20,$H$24:$J$24)</f>
        <v>0.18543245035004782</v>
      </c>
    </row>
    <row r="21" spans="2:11">
      <c r="B21" s="10" t="s">
        <v>33</v>
      </c>
      <c r="C21" s="15">
        <v>0.35</v>
      </c>
      <c r="D21" s="15">
        <v>0.1</v>
      </c>
      <c r="E21" s="6">
        <v>0.3</v>
      </c>
      <c r="F21" s="15"/>
      <c r="G21" s="5" t="s">
        <v>33</v>
      </c>
      <c r="H21" s="5">
        <f t="shared" si="1"/>
        <v>0.17499999999999999</v>
      </c>
      <c r="I21" s="15">
        <f t="shared" si="2"/>
        <v>9.0909090909090912E-2</v>
      </c>
      <c r="J21" s="6">
        <f t="shared" si="3"/>
        <v>0.18749999999999997</v>
      </c>
      <c r="K21" s="10">
        <f t="shared" si="4"/>
        <v>0.15336482007138438</v>
      </c>
    </row>
    <row r="22" spans="2:11">
      <c r="B22" s="11" t="s">
        <v>34</v>
      </c>
      <c r="C22" s="16">
        <v>0.65</v>
      </c>
      <c r="D22" s="16">
        <v>0.6</v>
      </c>
      <c r="E22" s="8">
        <v>0.3</v>
      </c>
      <c r="F22" s="15"/>
      <c r="G22" s="7" t="s">
        <v>34</v>
      </c>
      <c r="H22" s="7">
        <f t="shared" si="1"/>
        <v>0.32500000000000001</v>
      </c>
      <c r="I22" s="16">
        <f t="shared" si="2"/>
        <v>0.54545454545454541</v>
      </c>
      <c r="J22" s="8">
        <f t="shared" si="3"/>
        <v>0.18749999999999997</v>
      </c>
      <c r="K22" s="11">
        <f>SUMPRODUCT(H22:J22,$H$24:$J$24)</f>
        <v>0.36828551847990343</v>
      </c>
    </row>
    <row r="23" spans="2:11">
      <c r="C23" s="12">
        <f>SUM(C19:C22)</f>
        <v>2</v>
      </c>
      <c r="D23" s="17">
        <f t="shared" ref="D23:E23" si="5">SUM(D19:D22)</f>
        <v>1.1000000000000001</v>
      </c>
      <c r="E23" s="13">
        <f t="shared" si="5"/>
        <v>1.6</v>
      </c>
      <c r="F23" s="15"/>
    </row>
    <row r="24" spans="2:11">
      <c r="C24" s="15"/>
      <c r="D24" s="15"/>
      <c r="E24" s="15"/>
      <c r="H24" s="12">
        <f>G11</f>
        <v>0.59537901848746899</v>
      </c>
      <c r="I24" s="17">
        <f>G12</f>
        <v>0.27635046039787725</v>
      </c>
      <c r="J24" s="13">
        <f>G13</f>
        <v>0.12827052111465376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D41DD-84FE-4CDB-BEEA-16B6E89A9D89}">
  <dimension ref="B2:S56"/>
  <sheetViews>
    <sheetView tabSelected="1" topLeftCell="A17" zoomScale="85" zoomScaleNormal="85" workbookViewId="0">
      <selection activeCell="E54" sqref="E54"/>
    </sheetView>
  </sheetViews>
  <sheetFormatPr defaultRowHeight="15"/>
  <cols>
    <col min="1" max="2" width="9.140625" style="2"/>
    <col min="3" max="3" width="10.85546875" style="2" bestFit="1" customWidth="1"/>
    <col min="4" max="15" width="9.140625" style="2"/>
    <col min="16" max="16" width="10.140625" style="2" bestFit="1" customWidth="1"/>
    <col min="17" max="16384" width="9.140625" style="2"/>
  </cols>
  <sheetData>
    <row r="2" spans="2:19">
      <c r="B2" s="1" t="s">
        <v>35</v>
      </c>
      <c r="C2" s="12" t="s">
        <v>37</v>
      </c>
      <c r="D2" s="17" t="s">
        <v>38</v>
      </c>
      <c r="E2" s="13" t="s">
        <v>39</v>
      </c>
      <c r="F2" s="9" t="s">
        <v>36</v>
      </c>
      <c r="G2" s="9" t="s">
        <v>0</v>
      </c>
      <c r="J2" s="1" t="s">
        <v>14</v>
      </c>
      <c r="K2" s="12" t="s">
        <v>37</v>
      </c>
      <c r="L2" s="17" t="s">
        <v>38</v>
      </c>
      <c r="M2" s="13" t="s">
        <v>39</v>
      </c>
    </row>
    <row r="3" spans="2:19">
      <c r="B3" s="9" t="s">
        <v>37</v>
      </c>
      <c r="C3" s="3">
        <v>1</v>
      </c>
      <c r="D3" s="14">
        <v>1.5</v>
      </c>
      <c r="E3" s="14">
        <v>1</v>
      </c>
      <c r="F3" s="3">
        <f>GEOMEAN(C3:E3)</f>
        <v>1.1447142425533319</v>
      </c>
      <c r="G3" s="9">
        <f>F3/$F$6</f>
        <v>0.375</v>
      </c>
      <c r="J3" s="9" t="s">
        <v>37</v>
      </c>
      <c r="K3" s="15">
        <f>3/7</f>
        <v>0.42857142857142855</v>
      </c>
      <c r="L3" s="15">
        <v>0</v>
      </c>
      <c r="M3" s="15">
        <v>0</v>
      </c>
      <c r="N3" s="9">
        <f>SUMPRODUCT(K3:M3,$K$7:$M$7)</f>
        <v>0.1607142857142857</v>
      </c>
    </row>
    <row r="4" spans="2:19">
      <c r="B4" s="10" t="s">
        <v>38</v>
      </c>
      <c r="C4" s="5">
        <f>1/1.5</f>
        <v>0.66666666666666663</v>
      </c>
      <c r="D4" s="15">
        <v>1</v>
      </c>
      <c r="E4" s="15">
        <f>1/1.5</f>
        <v>0.66666666666666663</v>
      </c>
      <c r="F4" s="5">
        <f t="shared" ref="F4:F5" si="0">GEOMEAN(C4:E4)</f>
        <v>0.76314282836888792</v>
      </c>
      <c r="G4" s="10">
        <f t="shared" ref="G4:G5" si="1">F4/$F$6</f>
        <v>0.25</v>
      </c>
      <c r="J4" s="10" t="s">
        <v>38</v>
      </c>
      <c r="K4" s="15">
        <v>0</v>
      </c>
      <c r="L4" s="15">
        <f>2/7</f>
        <v>0.2857142857142857</v>
      </c>
      <c r="M4" s="15">
        <v>0</v>
      </c>
      <c r="N4" s="10">
        <f t="shared" ref="N4:N5" si="2">SUMPRODUCT(K4:M4,$K$7:$M$7)</f>
        <v>7.1428571428571425E-2</v>
      </c>
    </row>
    <row r="5" spans="2:19">
      <c r="B5" s="11" t="s">
        <v>39</v>
      </c>
      <c r="C5" s="7">
        <v>1</v>
      </c>
      <c r="D5" s="16">
        <v>1.5</v>
      </c>
      <c r="E5" s="16">
        <v>1</v>
      </c>
      <c r="F5" s="7">
        <f t="shared" si="0"/>
        <v>1.1447142425533319</v>
      </c>
      <c r="G5" s="11">
        <f t="shared" si="1"/>
        <v>0.375</v>
      </c>
      <c r="J5" s="11" t="s">
        <v>39</v>
      </c>
      <c r="K5" s="16">
        <v>0</v>
      </c>
      <c r="L5" s="16">
        <v>0</v>
      </c>
      <c r="M5" s="16">
        <f>2/7</f>
        <v>0.2857142857142857</v>
      </c>
      <c r="N5" s="11">
        <f t="shared" si="2"/>
        <v>0.10714285714285714</v>
      </c>
    </row>
    <row r="6" spans="2:19">
      <c r="F6" s="11">
        <f>SUM(F3:F5)</f>
        <v>3.0525713134755517</v>
      </c>
    </row>
    <row r="7" spans="2:19">
      <c r="K7" s="12">
        <f>G3</f>
        <v>0.375</v>
      </c>
      <c r="L7" s="17">
        <f>G4</f>
        <v>0.25</v>
      </c>
      <c r="M7" s="13">
        <f>G5</f>
        <v>0.375</v>
      </c>
    </row>
    <row r="11" spans="2:19">
      <c r="B11" s="1" t="s">
        <v>37</v>
      </c>
      <c r="C11" s="12" t="s">
        <v>15</v>
      </c>
      <c r="D11" s="17" t="s">
        <v>16</v>
      </c>
      <c r="E11" s="13" t="s">
        <v>17</v>
      </c>
      <c r="F11" s="1" t="s">
        <v>36</v>
      </c>
      <c r="G11" s="1" t="s">
        <v>40</v>
      </c>
      <c r="I11" s="1" t="s">
        <v>38</v>
      </c>
      <c r="J11" s="12" t="s">
        <v>20</v>
      </c>
      <c r="K11" s="13" t="s">
        <v>21</v>
      </c>
      <c r="L11" s="1" t="s">
        <v>36</v>
      </c>
      <c r="M11" s="1" t="s">
        <v>40</v>
      </c>
      <c r="O11" s="1" t="s">
        <v>39</v>
      </c>
      <c r="P11" s="12" t="s">
        <v>22</v>
      </c>
      <c r="Q11" s="13" t="s">
        <v>23</v>
      </c>
      <c r="R11" s="1" t="s">
        <v>36</v>
      </c>
      <c r="S11" s="1" t="s">
        <v>40</v>
      </c>
    </row>
    <row r="12" spans="2:19">
      <c r="B12" s="9" t="s">
        <v>15</v>
      </c>
      <c r="C12" s="15">
        <v>1</v>
      </c>
      <c r="D12" s="15">
        <f>1/2</f>
        <v>0.5</v>
      </c>
      <c r="E12" s="6">
        <v>2</v>
      </c>
      <c r="F12" s="9">
        <f>GEOMEAN(C12:E12)</f>
        <v>1</v>
      </c>
      <c r="G12" s="9">
        <f>F12/$F$15</f>
        <v>0.2857142857142857</v>
      </c>
      <c r="I12" s="9" t="s">
        <v>20</v>
      </c>
      <c r="J12" s="3">
        <v>1</v>
      </c>
      <c r="K12" s="4">
        <v>1</v>
      </c>
      <c r="L12" s="9">
        <f>GEOMEAN(J12:K12)</f>
        <v>1</v>
      </c>
      <c r="M12" s="9">
        <f>L12/$L$14</f>
        <v>0.5</v>
      </c>
      <c r="O12" s="9" t="s">
        <v>22</v>
      </c>
      <c r="P12" s="3">
        <v>1</v>
      </c>
      <c r="Q12" s="14">
        <v>2</v>
      </c>
      <c r="R12" s="9">
        <f>GEOMEAN(P12:Q12)</f>
        <v>1.4142135623730949</v>
      </c>
      <c r="S12" s="9">
        <f>R12/$R$14</f>
        <v>0.66666666666666663</v>
      </c>
    </row>
    <row r="13" spans="2:19">
      <c r="B13" s="10" t="s">
        <v>16</v>
      </c>
      <c r="C13" s="15">
        <v>2</v>
      </c>
      <c r="D13" s="15">
        <v>1</v>
      </c>
      <c r="E13" s="6">
        <v>4</v>
      </c>
      <c r="F13" s="10">
        <f t="shared" ref="F13:F14" si="3">GEOMEAN(C13:E13)</f>
        <v>2</v>
      </c>
      <c r="G13" s="10">
        <f t="shared" ref="G13:G14" si="4">F13/$F$15</f>
        <v>0.5714285714285714</v>
      </c>
      <c r="I13" s="11" t="s">
        <v>21</v>
      </c>
      <c r="J13" s="7">
        <v>1</v>
      </c>
      <c r="K13" s="8">
        <v>1</v>
      </c>
      <c r="L13" s="11">
        <f>GEOMEAN(J13:K13)</f>
        <v>1</v>
      </c>
      <c r="M13" s="11">
        <f>L13/$L$14</f>
        <v>0.5</v>
      </c>
      <c r="O13" s="11" t="s">
        <v>23</v>
      </c>
      <c r="P13" s="7">
        <f>1/2</f>
        <v>0.5</v>
      </c>
      <c r="Q13" s="16">
        <v>1</v>
      </c>
      <c r="R13" s="11">
        <f>GEOMEAN(P13:Q13)</f>
        <v>0.70710678118654757</v>
      </c>
      <c r="S13" s="11">
        <f>R13/$R$14</f>
        <v>0.33333333333333337</v>
      </c>
    </row>
    <row r="14" spans="2:19">
      <c r="B14" s="11" t="s">
        <v>17</v>
      </c>
      <c r="C14" s="16">
        <f>1/2</f>
        <v>0.5</v>
      </c>
      <c r="D14" s="16">
        <f>1/4</f>
        <v>0.25</v>
      </c>
      <c r="E14" s="8">
        <v>1</v>
      </c>
      <c r="F14" s="11">
        <f t="shared" si="3"/>
        <v>0.5</v>
      </c>
      <c r="G14" s="11">
        <f t="shared" si="4"/>
        <v>0.14285714285714285</v>
      </c>
      <c r="L14" s="1">
        <f>SUM(L12:L13)</f>
        <v>2</v>
      </c>
      <c r="R14" s="11">
        <f>SUM(R12:R13)</f>
        <v>2.1213203435596424</v>
      </c>
    </row>
    <row r="15" spans="2:19">
      <c r="F15" s="1">
        <f>SUM(F12:F14)</f>
        <v>3.5</v>
      </c>
    </row>
    <row r="17" spans="2:16">
      <c r="B17" s="15"/>
      <c r="C17" s="15"/>
      <c r="D17" s="15"/>
      <c r="E17" s="15"/>
      <c r="F17" s="15"/>
      <c r="G17" s="15"/>
      <c r="H17" s="15"/>
      <c r="I17" s="15"/>
      <c r="J17" s="15"/>
    </row>
    <row r="18" spans="2:16">
      <c r="J18" s="15"/>
      <c r="P18" s="2" t="s">
        <v>41</v>
      </c>
    </row>
    <row r="19" spans="2:16">
      <c r="B19" s="1" t="s">
        <v>18</v>
      </c>
      <c r="C19" s="12" t="s">
        <v>37</v>
      </c>
      <c r="D19" s="17" t="s">
        <v>38</v>
      </c>
      <c r="E19" s="13" t="s">
        <v>39</v>
      </c>
      <c r="F19" s="1" t="s">
        <v>19</v>
      </c>
      <c r="G19" s="15"/>
      <c r="P19" s="2" t="s">
        <v>42</v>
      </c>
    </row>
    <row r="20" spans="2:16">
      <c r="B20" s="9" t="s">
        <v>15</v>
      </c>
      <c r="C20" s="3">
        <f>G12</f>
        <v>0.2857142857142857</v>
      </c>
      <c r="D20" s="14">
        <v>0</v>
      </c>
      <c r="E20" s="4">
        <v>0</v>
      </c>
      <c r="F20" s="9">
        <f>SUMPRODUCT(C20:E20,$C$28:$E$28)</f>
        <v>4.5918367346938771E-2</v>
      </c>
      <c r="G20" s="15"/>
      <c r="I20" s="2">
        <f>C20*K3</f>
        <v>0.12244897959183672</v>
      </c>
      <c r="J20" s="2">
        <v>0</v>
      </c>
      <c r="K20" s="2">
        <v>0</v>
      </c>
      <c r="N20" s="2">
        <f>I20*G3</f>
        <v>4.5918367346938771E-2</v>
      </c>
      <c r="P20" s="2">
        <f>N20/$N$27</f>
        <v>0.13533834586466167</v>
      </c>
    </row>
    <row r="21" spans="2:16">
      <c r="B21" s="10" t="s">
        <v>16</v>
      </c>
      <c r="C21" s="5">
        <f>G13</f>
        <v>0.5714285714285714</v>
      </c>
      <c r="D21" s="15">
        <v>0</v>
      </c>
      <c r="E21" s="6">
        <v>0</v>
      </c>
      <c r="F21" s="10">
        <f>SUMPRODUCT(C21:E21,$C$28:$E$28)</f>
        <v>9.1836734693877542E-2</v>
      </c>
      <c r="I21" s="2">
        <f>C21*K3</f>
        <v>0.24489795918367344</v>
      </c>
      <c r="J21" s="2">
        <v>0</v>
      </c>
      <c r="K21" s="2">
        <v>0</v>
      </c>
      <c r="N21" s="2">
        <f>I21*G3</f>
        <v>9.1836734693877542E-2</v>
      </c>
      <c r="P21" s="2">
        <f t="shared" ref="P21:P26" si="5">N21/$N$27</f>
        <v>0.27067669172932335</v>
      </c>
    </row>
    <row r="22" spans="2:16">
      <c r="B22" s="10" t="s">
        <v>17</v>
      </c>
      <c r="C22" s="5">
        <f>G14</f>
        <v>0.14285714285714285</v>
      </c>
      <c r="D22" s="15">
        <v>0</v>
      </c>
      <c r="E22" s="6">
        <v>0</v>
      </c>
      <c r="F22" s="10">
        <f>SUMPRODUCT(C22:E22,$C$28:$E$28)</f>
        <v>2.2959183673469385E-2</v>
      </c>
      <c r="G22" s="2" t="s">
        <v>43</v>
      </c>
      <c r="I22" s="2">
        <f>C22*K3</f>
        <v>6.1224489795918359E-2</v>
      </c>
      <c r="J22" s="2">
        <v>0</v>
      </c>
      <c r="K22" s="2">
        <v>0</v>
      </c>
      <c r="L22" s="2" t="s">
        <v>44</v>
      </c>
      <c r="N22" s="2">
        <f>I22*G3</f>
        <v>2.2959183673469385E-2</v>
      </c>
      <c r="P22" s="2">
        <f t="shared" si="5"/>
        <v>6.7669172932330837E-2</v>
      </c>
    </row>
    <row r="23" spans="2:16">
      <c r="B23" s="10" t="s">
        <v>20</v>
      </c>
      <c r="C23" s="5">
        <v>0</v>
      </c>
      <c r="D23" s="15">
        <f>M12</f>
        <v>0.5</v>
      </c>
      <c r="E23" s="6">
        <v>0</v>
      </c>
      <c r="F23" s="10">
        <f>SUMPRODUCT(C23:E23,$C$28:$E$28)</f>
        <v>3.5714285714285712E-2</v>
      </c>
      <c r="I23" s="2">
        <v>0</v>
      </c>
      <c r="J23" s="2">
        <f>D23*L4</f>
        <v>0.14285714285714285</v>
      </c>
      <c r="K23" s="2">
        <v>0</v>
      </c>
      <c r="N23" s="2">
        <f>J23*G4</f>
        <v>3.5714285714285712E-2</v>
      </c>
      <c r="P23" s="2">
        <f t="shared" si="5"/>
        <v>0.10526315789473686</v>
      </c>
    </row>
    <row r="24" spans="2:16">
      <c r="B24" s="10" t="s">
        <v>21</v>
      </c>
      <c r="C24" s="5">
        <v>0</v>
      </c>
      <c r="D24" s="15">
        <f>M13</f>
        <v>0.5</v>
      </c>
      <c r="E24" s="6">
        <v>0</v>
      </c>
      <c r="F24" s="10">
        <f>SUMPRODUCT(C24:E24,$C$28:$E$28)</f>
        <v>3.5714285714285712E-2</v>
      </c>
      <c r="I24" s="2">
        <v>0</v>
      </c>
      <c r="J24" s="2">
        <f>D24*L4</f>
        <v>0.14285714285714285</v>
      </c>
      <c r="K24" s="2">
        <v>0</v>
      </c>
      <c r="N24" s="2">
        <f>J24*G4</f>
        <v>3.5714285714285712E-2</v>
      </c>
      <c r="P24" s="2">
        <f t="shared" si="5"/>
        <v>0.10526315789473686</v>
      </c>
    </row>
    <row r="25" spans="2:16">
      <c r="B25" s="10" t="s">
        <v>22</v>
      </c>
      <c r="C25" s="5">
        <v>0</v>
      </c>
      <c r="D25" s="15">
        <v>0</v>
      </c>
      <c r="E25" s="6">
        <f>S12</f>
        <v>0.66666666666666663</v>
      </c>
      <c r="F25" s="10">
        <f>SUMPRODUCT(C25:E25,$C$28:$E$28)</f>
        <v>7.1428571428571425E-2</v>
      </c>
      <c r="I25" s="2">
        <v>0</v>
      </c>
      <c r="J25" s="2">
        <v>0</v>
      </c>
      <c r="K25" s="2">
        <f>E25*M5</f>
        <v>0.19047619047619047</v>
      </c>
      <c r="N25" s="2">
        <f>K25*G5</f>
        <v>7.1428571428571425E-2</v>
      </c>
      <c r="P25" s="2">
        <f t="shared" si="5"/>
        <v>0.21052631578947373</v>
      </c>
    </row>
    <row r="26" spans="2:16">
      <c r="B26" s="11" t="s">
        <v>23</v>
      </c>
      <c r="C26" s="7">
        <v>0</v>
      </c>
      <c r="D26" s="16">
        <v>0</v>
      </c>
      <c r="E26" s="8">
        <f>S13</f>
        <v>0.33333333333333337</v>
      </c>
      <c r="F26" s="11">
        <f>SUMPRODUCT(C26:E26,$C$28:$E$28)</f>
        <v>3.5714285714285719E-2</v>
      </c>
      <c r="I26" s="2">
        <v>0</v>
      </c>
      <c r="J26" s="2">
        <v>0</v>
      </c>
      <c r="K26" s="2">
        <f>E26*M5</f>
        <v>9.5238095238095247E-2</v>
      </c>
      <c r="N26" s="2">
        <f>K26*G5</f>
        <v>3.5714285714285719E-2</v>
      </c>
      <c r="P26" s="2">
        <f t="shared" si="5"/>
        <v>0.10526315789473689</v>
      </c>
    </row>
    <row r="27" spans="2:16">
      <c r="N27" s="2">
        <f>SUM(N20:N26)</f>
        <v>0.33928571428571419</v>
      </c>
    </row>
    <row r="28" spans="2:16">
      <c r="C28" s="12">
        <f>N3</f>
        <v>0.1607142857142857</v>
      </c>
      <c r="D28" s="17">
        <f>N4</f>
        <v>7.1428571428571425E-2</v>
      </c>
      <c r="E28" s="13">
        <f>N5</f>
        <v>0.10714285714285714</v>
      </c>
    </row>
    <row r="31" spans="2:16">
      <c r="C31" s="12" t="s">
        <v>15</v>
      </c>
      <c r="D31" s="17" t="s">
        <v>16</v>
      </c>
      <c r="E31" s="17" t="s">
        <v>17</v>
      </c>
      <c r="F31" s="17" t="s">
        <v>20</v>
      </c>
      <c r="G31" s="17" t="s">
        <v>21</v>
      </c>
      <c r="H31" s="17" t="s">
        <v>22</v>
      </c>
      <c r="I31" s="13" t="s">
        <v>23</v>
      </c>
      <c r="M31" s="21" t="s">
        <v>45</v>
      </c>
      <c r="N31" s="21" t="s">
        <v>46</v>
      </c>
      <c r="O31" s="22" t="s">
        <v>47</v>
      </c>
    </row>
    <row r="32" spans="2:16">
      <c r="B32" s="9" t="s">
        <v>31</v>
      </c>
      <c r="C32" s="15">
        <v>1.1599999999999999</v>
      </c>
      <c r="D32" s="15">
        <v>0.96</v>
      </c>
      <c r="E32" s="15">
        <v>8</v>
      </c>
      <c r="F32" s="15">
        <v>8</v>
      </c>
      <c r="G32" s="15">
        <v>8</v>
      </c>
      <c r="H32">
        <v>0.5</v>
      </c>
      <c r="I32" s="18">
        <v>0.5</v>
      </c>
      <c r="M32" s="23" t="s">
        <v>48</v>
      </c>
      <c r="N32" s="23" t="s">
        <v>49</v>
      </c>
      <c r="O32" s="24">
        <v>0.5</v>
      </c>
    </row>
    <row r="33" spans="2:15">
      <c r="B33" s="10" t="s">
        <v>32</v>
      </c>
      <c r="C33" s="15">
        <v>1.2</v>
      </c>
      <c r="D33" s="15">
        <v>0.9</v>
      </c>
      <c r="E33" s="15">
        <v>9</v>
      </c>
      <c r="F33" s="15">
        <v>8</v>
      </c>
      <c r="G33" s="15">
        <v>8</v>
      </c>
      <c r="H33">
        <v>0.15</v>
      </c>
      <c r="I33" s="18">
        <v>0.1</v>
      </c>
      <c r="M33" s="23" t="s">
        <v>50</v>
      </c>
      <c r="N33" s="23" t="s">
        <v>51</v>
      </c>
      <c r="O33" s="24">
        <v>0.15</v>
      </c>
    </row>
    <row r="34" spans="2:15">
      <c r="B34" s="10" t="s">
        <v>33</v>
      </c>
      <c r="C34" s="15">
        <v>1.17</v>
      </c>
      <c r="D34" s="15">
        <v>0.7</v>
      </c>
      <c r="E34" s="15">
        <v>8</v>
      </c>
      <c r="F34" s="15">
        <v>8</v>
      </c>
      <c r="G34" s="15">
        <v>8</v>
      </c>
      <c r="H34">
        <v>0.25</v>
      </c>
      <c r="I34" s="18">
        <v>0.15</v>
      </c>
      <c r="M34" s="23" t="s">
        <v>52</v>
      </c>
      <c r="N34" s="23" t="s">
        <v>53</v>
      </c>
      <c r="O34" s="24">
        <v>0.25</v>
      </c>
    </row>
    <row r="35" spans="2:15">
      <c r="B35" s="11" t="s">
        <v>34</v>
      </c>
      <c r="C35" s="16">
        <v>1.25</v>
      </c>
      <c r="D35" s="16">
        <v>0.8</v>
      </c>
      <c r="E35" s="16">
        <v>7</v>
      </c>
      <c r="F35" s="16">
        <v>2</v>
      </c>
      <c r="G35" s="16">
        <v>2</v>
      </c>
      <c r="H35" s="19">
        <v>0.1</v>
      </c>
      <c r="I35" s="20">
        <v>0.25</v>
      </c>
      <c r="M35" s="25" t="s">
        <v>54</v>
      </c>
      <c r="N35" s="25" t="s">
        <v>55</v>
      </c>
      <c r="O35" s="26">
        <v>0.1</v>
      </c>
    </row>
    <row r="36" spans="2:15">
      <c r="C36" s="12">
        <f>SUM(C32:C35)</f>
        <v>4.7799999999999994</v>
      </c>
      <c r="D36" s="17">
        <f t="shared" ref="D36:I36" si="6">SUM(D32:D35)</f>
        <v>3.3599999999999994</v>
      </c>
      <c r="E36" s="17">
        <f t="shared" si="6"/>
        <v>32</v>
      </c>
      <c r="F36" s="17">
        <f t="shared" si="6"/>
        <v>26</v>
      </c>
      <c r="G36" s="17">
        <f t="shared" si="6"/>
        <v>26</v>
      </c>
      <c r="H36" s="17">
        <f t="shared" si="6"/>
        <v>1</v>
      </c>
      <c r="I36" s="13">
        <f t="shared" si="6"/>
        <v>1</v>
      </c>
      <c r="M36" s="27"/>
      <c r="N36" s="27"/>
      <c r="O36" s="27"/>
    </row>
    <row r="37" spans="2:15">
      <c r="M37" s="27"/>
      <c r="N37" s="27"/>
      <c r="O37" s="27"/>
    </row>
    <row r="38" spans="2:15">
      <c r="M38" s="21" t="s">
        <v>56</v>
      </c>
      <c r="N38" s="21" t="s">
        <v>46</v>
      </c>
      <c r="O38" s="22" t="s">
        <v>57</v>
      </c>
    </row>
    <row r="39" spans="2:15">
      <c r="M39" s="23" t="s">
        <v>48</v>
      </c>
      <c r="N39" s="23" t="s">
        <v>49</v>
      </c>
      <c r="O39" s="24">
        <v>0.5</v>
      </c>
    </row>
    <row r="40" spans="2:15">
      <c r="M40" s="23" t="s">
        <v>50</v>
      </c>
      <c r="N40" s="23" t="s">
        <v>55</v>
      </c>
      <c r="O40" s="24">
        <v>0.1</v>
      </c>
    </row>
    <row r="41" spans="2:15">
      <c r="B41" s="2" t="s">
        <v>58</v>
      </c>
      <c r="C41" s="3" t="s">
        <v>15</v>
      </c>
      <c r="D41" s="14" t="s">
        <v>16</v>
      </c>
      <c r="E41" s="14" t="s">
        <v>17</v>
      </c>
      <c r="F41" s="14" t="s">
        <v>20</v>
      </c>
      <c r="G41" s="14" t="s">
        <v>21</v>
      </c>
      <c r="H41" s="14" t="s">
        <v>22</v>
      </c>
      <c r="I41" s="4" t="s">
        <v>23</v>
      </c>
      <c r="J41" s="1" t="s">
        <v>30</v>
      </c>
      <c r="M41" s="23" t="s">
        <v>52</v>
      </c>
      <c r="N41" s="23" t="s">
        <v>51</v>
      </c>
      <c r="O41" s="24">
        <v>0.15</v>
      </c>
    </row>
    <row r="42" spans="2:15">
      <c r="B42" s="3" t="s">
        <v>31</v>
      </c>
      <c r="C42" s="3">
        <f>C32/$C$36</f>
        <v>0.24267782426778245</v>
      </c>
      <c r="D42" s="14">
        <f>D32/$D$36</f>
        <v>0.28571428571428575</v>
      </c>
      <c r="E42" s="14">
        <f>E32/$E$36</f>
        <v>0.25</v>
      </c>
      <c r="F42" s="14">
        <f>F32/$F$36</f>
        <v>0.30769230769230771</v>
      </c>
      <c r="G42" s="14">
        <f>G32/$G$36</f>
        <v>0.30769230769230771</v>
      </c>
      <c r="H42" s="14">
        <f>H32/$H$36</f>
        <v>0.5</v>
      </c>
      <c r="I42" s="14">
        <f>I32/$I$36</f>
        <v>0.5</v>
      </c>
      <c r="J42" s="4">
        <f>SUMPRODUCT(C42:I42,$C$47:$I$47)</f>
        <v>0.11867168300489538</v>
      </c>
      <c r="M42" s="25" t="s">
        <v>54</v>
      </c>
      <c r="N42" s="25" t="s">
        <v>53</v>
      </c>
      <c r="O42" s="26">
        <v>0.25</v>
      </c>
    </row>
    <row r="43" spans="2:15">
      <c r="B43" s="5" t="s">
        <v>32</v>
      </c>
      <c r="C43" s="5">
        <f>C33/$C$36</f>
        <v>0.25104602510460255</v>
      </c>
      <c r="D43" s="15">
        <f>D33/$D$36</f>
        <v>0.2678571428571429</v>
      </c>
      <c r="E43" s="15">
        <f>E33/$E$36</f>
        <v>0.28125</v>
      </c>
      <c r="F43" s="14">
        <f>F33/$F$36</f>
        <v>0.30769230769230771</v>
      </c>
      <c r="G43" s="15">
        <f>G33/$G$36</f>
        <v>0.30769230769230771</v>
      </c>
      <c r="H43" s="14">
        <f>H33/$H$36</f>
        <v>0.15</v>
      </c>
      <c r="I43" s="14">
        <f>I33/$I$36</f>
        <v>0.1</v>
      </c>
      <c r="J43" s="6">
        <f>SUMPRODUCT(C43:I43,$C$47:$I$47)</f>
        <v>7.8847755638072975E-2</v>
      </c>
    </row>
    <row r="44" spans="2:15">
      <c r="B44" s="5" t="s">
        <v>33</v>
      </c>
      <c r="C44" s="5">
        <f>C34/$C$36</f>
        <v>0.24476987447698748</v>
      </c>
      <c r="D44" s="15">
        <f>D34/$D$36</f>
        <v>0.20833333333333334</v>
      </c>
      <c r="E44" s="15">
        <f>E34/$E$36</f>
        <v>0.25</v>
      </c>
      <c r="F44" s="14">
        <f>F34/$F$36</f>
        <v>0.30769230769230771</v>
      </c>
      <c r="G44" s="15">
        <f>G34/$G$36</f>
        <v>0.30769230769230771</v>
      </c>
      <c r="H44" s="14">
        <f>H34/$H$36</f>
        <v>0.25</v>
      </c>
      <c r="I44" s="14">
        <f>I34/$I$36</f>
        <v>0.15</v>
      </c>
      <c r="J44" s="6">
        <f>SUMPRODUCT(C44:I44,$C$47:$I$47)</f>
        <v>8.1304189683597941E-2</v>
      </c>
    </row>
    <row r="45" spans="2:15">
      <c r="B45" s="7" t="s">
        <v>34</v>
      </c>
      <c r="C45" s="7">
        <f>C35/$C$36</f>
        <v>0.26150627615062766</v>
      </c>
      <c r="D45" s="16">
        <f>D35/$D$36</f>
        <v>0.23809523809523814</v>
      </c>
      <c r="E45" s="16">
        <f>E35/$E$36</f>
        <v>0.21875</v>
      </c>
      <c r="F45" s="14">
        <f>F35/$F$36</f>
        <v>7.6923076923076927E-2</v>
      </c>
      <c r="G45" s="16">
        <f>G35/$G$36</f>
        <v>7.6923076923076927E-2</v>
      </c>
      <c r="H45" s="14">
        <f>H35/$H$36</f>
        <v>0.1</v>
      </c>
      <c r="I45" s="14">
        <f>I35/$I$36</f>
        <v>0.25</v>
      </c>
      <c r="J45" s="8">
        <f>SUMPRODUCT(C45:I45,$C$47:$I$47)</f>
        <v>6.0462085959148017E-2</v>
      </c>
    </row>
    <row r="47" spans="2:15">
      <c r="C47" s="12">
        <f>F20</f>
        <v>4.5918367346938771E-2</v>
      </c>
      <c r="D47" s="17">
        <f>F21</f>
        <v>9.1836734693877542E-2</v>
      </c>
      <c r="E47" s="17">
        <f>F22</f>
        <v>2.2959183673469385E-2</v>
      </c>
      <c r="F47" s="17">
        <f>F23</f>
        <v>3.5714285714285712E-2</v>
      </c>
      <c r="G47" s="17">
        <f>F24</f>
        <v>3.5714285714285712E-2</v>
      </c>
      <c r="H47" s="17">
        <f>F25</f>
        <v>7.1428571428571425E-2</v>
      </c>
      <c r="I47" s="13">
        <f>F26</f>
        <v>3.5714285714285719E-2</v>
      </c>
    </row>
    <row r="53" spans="3:5">
      <c r="C53" s="2" t="s">
        <v>59</v>
      </c>
      <c r="E53" s="28">
        <f>C42*$P$20+D42*$P$21+E42*$P$22+F42*$P$23+G42*$P$24+H42*$P$25+I42*$P$26</f>
        <v>0.34976917096179694</v>
      </c>
    </row>
    <row r="54" spans="3:5">
      <c r="E54" s="28">
        <f t="shared" ref="E54:E56" si="7">C43*$P$20+D43*$P$21+E43*$P$22+F43*$P$23+G43*$P$24+H43*$P$25+I43*$P$26</f>
        <v>0.23239338503853091</v>
      </c>
    </row>
    <row r="55" spans="3:5">
      <c r="E55" s="28">
        <f t="shared" si="7"/>
        <v>0.2396334011727097</v>
      </c>
    </row>
    <row r="56" spans="3:5">
      <c r="E56" s="28">
        <f t="shared" si="7"/>
        <v>0.17820404282696262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Дмитрий Власов</dc:creator>
  <cp:keywords/>
  <dc:description/>
  <cp:lastModifiedBy/>
  <cp:revision/>
  <dcterms:created xsi:type="dcterms:W3CDTF">2015-06-05T18:19:34Z</dcterms:created>
  <dcterms:modified xsi:type="dcterms:W3CDTF">2025-04-10T11:08:51Z</dcterms:modified>
  <cp:category/>
  <cp:contentStatus/>
</cp:coreProperties>
</file>