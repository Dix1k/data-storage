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My\data-storage\Моделирование и средства проетирования информационных систем и технологий\"/>
    </mc:Choice>
  </mc:AlternateContent>
  <xr:revisionPtr revIDLastSave="0" documentId="13_ncr:1_{333C31B5-E70F-4B03-9F21-ED54A0A0A4A7}" xr6:coauthVersionLast="47" xr6:coauthVersionMax="47" xr10:uidLastSave="{00000000-0000-0000-0000-000000000000}"/>
  <bookViews>
    <workbookView xWindow="-120" yWindow="360" windowWidth="29040" windowHeight="15960" xr2:uid="{00000000-000D-0000-FFFF-FFFF00000000}"/>
  </bookViews>
  <sheets>
    <sheet name="1" sheetId="1" r:id="rId1"/>
    <sheet name="2" sheetId="2" r:id="rId2"/>
    <sheet name="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" i="1" l="1"/>
  <c r="G11" i="1"/>
  <c r="G9" i="1"/>
  <c r="I9" i="1" s="1"/>
  <c r="G10" i="1"/>
  <c r="I10" i="1" s="1"/>
  <c r="I11" i="1"/>
  <c r="G8" i="1"/>
  <c r="G6" i="1"/>
  <c r="I6" i="1" s="1"/>
  <c r="G5" i="1"/>
  <c r="I5" i="1" s="1"/>
  <c r="G3" i="1"/>
  <c r="I3" i="1" s="1"/>
  <c r="H4" i="4"/>
  <c r="H5" i="4"/>
  <c r="G4" i="4"/>
  <c r="G5" i="4"/>
  <c r="F5" i="4"/>
  <c r="F4" i="4"/>
  <c r="I10" i="4"/>
  <c r="J10" i="4"/>
  <c r="L10" i="4"/>
  <c r="G5" i="2"/>
  <c r="F5" i="2"/>
  <c r="G4" i="2"/>
  <c r="F3" i="2"/>
  <c r="F4" i="2"/>
  <c r="E5" i="2"/>
  <c r="E4" i="2"/>
  <c r="E10" i="4"/>
  <c r="K10" i="2"/>
  <c r="I10" i="2"/>
  <c r="D10" i="2"/>
  <c r="D10" i="4"/>
  <c r="F9" i="4"/>
  <c r="G9" i="4" s="1"/>
  <c r="H9" i="4" s="1"/>
  <c r="F7" i="4"/>
  <c r="G7" i="4" s="1"/>
  <c r="H7" i="4" s="1"/>
  <c r="F3" i="4"/>
  <c r="G3" i="4" s="1"/>
  <c r="H3" i="4" s="1"/>
  <c r="H10" i="2"/>
  <c r="E9" i="2"/>
  <c r="F9" i="2" s="1"/>
  <c r="G9" i="2" s="1"/>
  <c r="E7" i="2"/>
  <c r="F7" i="2" s="1"/>
  <c r="G7" i="2" s="1"/>
  <c r="E3" i="2"/>
  <c r="D14" i="1"/>
  <c r="E12" i="1"/>
  <c r="E7" i="1"/>
  <c r="E2" i="1"/>
  <c r="E4" i="1"/>
  <c r="G14" i="1" l="1"/>
  <c r="I8" i="1"/>
  <c r="I14" i="1" s="1"/>
  <c r="F12" i="1"/>
  <c r="E13" i="1"/>
  <c r="E11" i="1"/>
  <c r="F11" i="1" s="1"/>
  <c r="E9" i="1"/>
  <c r="E8" i="1"/>
  <c r="F8" i="1" s="1"/>
  <c r="F7" i="1"/>
  <c r="E10" i="1"/>
  <c r="E3" i="1"/>
  <c r="F3" i="1" s="1"/>
  <c r="F2" i="1"/>
  <c r="F4" i="1"/>
  <c r="E5" i="1"/>
  <c r="F5" i="1" s="1"/>
  <c r="E6" i="1"/>
  <c r="F6" i="1" s="1"/>
  <c r="H10" i="4"/>
  <c r="G3" i="2"/>
  <c r="G10" i="2" s="1"/>
  <c r="F9" i="1"/>
  <c r="F10" i="1"/>
  <c r="F13" i="1" l="1"/>
  <c r="F14" i="1" s="1"/>
  <c r="J14" i="1" s="1"/>
  <c r="E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dix1k</author>
  </authors>
  <commentList>
    <comment ref="D1" authorId="0" shapeId="0" xr:uid="{44D19619-580A-420E-B73C-6CE046FBA46C}">
      <text>
        <r>
          <rPr>
            <b/>
            <sz val="9"/>
            <color indexed="81"/>
            <rFont val="Tahoma"/>
            <charset val="1"/>
          </rPr>
          <t>dix1k:</t>
        </r>
        <r>
          <rPr>
            <sz val="9"/>
            <color indexed="81"/>
            <rFont val="Tahoma"/>
            <charset val="1"/>
          </rPr>
          <t xml:space="preserve">
от какой з/п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dix1k</author>
  </authors>
  <commentList>
    <comment ref="D1" authorId="0" shapeId="0" xr:uid="{7639FFC7-63F5-46F5-BAF1-EE3EC1FCD711}">
      <text>
        <r>
          <rPr>
            <b/>
            <sz val="9"/>
            <color indexed="81"/>
            <rFont val="Tahoma"/>
            <charset val="1"/>
          </rPr>
          <t>dix1k:</t>
        </r>
        <r>
          <rPr>
            <sz val="9"/>
            <color indexed="81"/>
            <rFont val="Tahoma"/>
            <charset val="1"/>
          </rPr>
          <t xml:space="preserve">
от какой з/п</t>
        </r>
      </text>
    </comment>
  </commentList>
</comments>
</file>

<file path=xl/sharedStrings.xml><?xml version="1.0" encoding="utf-8"?>
<sst xmlns="http://schemas.openxmlformats.org/spreadsheetml/2006/main" count="65" uniqueCount="49">
  <si>
    <t>Трудоемкость, час</t>
  </si>
  <si>
    <t>Ставка исполнителя, руб./час</t>
  </si>
  <si>
    <t>Машинное время, час</t>
  </si>
  <si>
    <t>Стоим. 1 часа маш. вр., руб.</t>
  </si>
  <si>
    <t>Коп (маш. вр.)</t>
  </si>
  <si>
    <t>Руководитель проекта</t>
  </si>
  <si>
    <t>4. Разработка модуля «Анкета заемщика и скоринг»</t>
  </si>
  <si>
    <t>5. Разработка интеграции с БКИ (кредитная история)</t>
  </si>
  <si>
    <t>6. Расчет ПДН и формирование графика платежей</t>
  </si>
  <si>
    <t>7. Тестирование и отладка</t>
  </si>
  <si>
    <t>Сто</t>
  </si>
  <si>
    <t>Сэл</t>
  </si>
  <si>
    <t>Срем</t>
  </si>
  <si>
    <t>Андеррайтер</t>
  </si>
  <si>
    <t>С отчислениями</t>
  </si>
  <si>
    <t>з/п?  Как высчитал стоимость часа??</t>
  </si>
  <si>
    <t>затраты на внедрение??</t>
  </si>
  <si>
    <t>Аналитик</t>
  </si>
  <si>
    <t>Программист</t>
  </si>
  <si>
    <t>Инженер</t>
  </si>
  <si>
    <t>8. Внедрение системы, настройка, обучение персонала</t>
  </si>
  <si>
    <t>2. Анализ кредитного процесса (документооборот, скоринг, проверки)</t>
  </si>
  <si>
    <t>3. Формализация требований к ИС (ТЗ, прототипы экранов)</t>
  </si>
  <si>
    <t>1. Управление проектом, согласование, постановка задач</t>
  </si>
  <si>
    <t>З/п</t>
  </si>
  <si>
    <t>ИТОГО</t>
  </si>
  <si>
    <t>Исполнитель</t>
  </si>
  <si>
    <t>Подпроцесс</t>
  </si>
  <si>
    <t>Менеджер</t>
  </si>
  <si>
    <t>Прием заявки</t>
  </si>
  <si>
    <t>Консультация</t>
  </si>
  <si>
    <t>Проверка клиента</t>
  </si>
  <si>
    <t>Итого процесс</t>
  </si>
  <si>
    <t>Кассир</t>
  </si>
  <si>
    <t>Сни (бумага), руб</t>
  </si>
  <si>
    <t>Сзп, руб</t>
  </si>
  <si>
    <t>Ставка с отчислениями, руб</t>
  </si>
  <si>
    <t>Ставка в час, руб</t>
  </si>
  <si>
    <t>З/п, руб</t>
  </si>
  <si>
    <t>Выдача денег</t>
  </si>
  <si>
    <t>То (мин)</t>
  </si>
  <si>
    <t>Сэл, руб/час</t>
  </si>
  <si>
    <t>Скоринг система</t>
  </si>
  <si>
    <t>Машинное время</t>
  </si>
  <si>
    <t>Трудоёмкость, мин. То</t>
  </si>
  <si>
    <t>Оформление заявки</t>
  </si>
  <si>
    <t>Оформление кредитного договора</t>
  </si>
  <si>
    <t>выполняемые стадии / работы</t>
  </si>
  <si>
    <t>Исполнители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</si>
</sst>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₽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204"/>
      <scheme val="minor"/>
    </font>
    <font>
      <sz val="12"/>
      <color rgb="FFFF0000"/>
      <name val="Times New Roman"/>
      <family val="1"/>
      <charset val="204"/>
    </font>
    <font>
      <sz val="11"/>
      <name val="Carlito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8" fillId="0" borderId="0"/>
  </cellStyleXfs>
  <cellXfs count="37">
    <xf numFmtId="0" fontId="0" fillId="0" borderId="0" xfId="0"/>
    <xf numFmtId="0" fontId="2" fillId="0" borderId="0" xfId="0" applyFont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1" fillId="0" borderId="0" xfId="0" applyFont="1" applyAlignment="1">
      <alignment horizontal="left" vertical="center" wrapText="1" inden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 indent="1"/>
    </xf>
    <xf numFmtId="0" fontId="2" fillId="3" borderId="0" xfId="0" applyFont="1" applyFill="1" applyAlignment="1">
      <alignment horizontal="left" vertical="center" wrapText="1" indent="1"/>
    </xf>
    <xf numFmtId="0" fontId="2" fillId="4" borderId="0" xfId="0" applyFont="1" applyFill="1" applyAlignment="1">
      <alignment horizontal="left" vertical="center" wrapText="1" indent="1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horizontal="left" vertical="center" wrapText="1" indent="1"/>
    </xf>
    <xf numFmtId="0" fontId="2" fillId="0" borderId="1" xfId="0" applyFont="1" applyBorder="1" applyAlignment="1">
      <alignment horizontal="left" vertical="center" wrapText="1" indent="1"/>
    </xf>
    <xf numFmtId="0" fontId="2" fillId="4" borderId="1" xfId="0" applyFont="1" applyFill="1" applyBorder="1" applyAlignment="1">
      <alignment horizontal="left" vertical="center" wrapText="1" indent="1"/>
    </xf>
    <xf numFmtId="164" fontId="2" fillId="0" borderId="1" xfId="0" applyNumberFormat="1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3" fontId="3" fillId="0" borderId="1" xfId="0" applyNumberFormat="1" applyFont="1" applyBorder="1" applyAlignment="1">
      <alignment horizontal="left" vertical="center" wrapText="1" indent="1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left" vertical="center" wrapText="1" indent="1"/>
    </xf>
    <xf numFmtId="0" fontId="7" fillId="0" borderId="0" xfId="0" applyFont="1"/>
    <xf numFmtId="164" fontId="6" fillId="0" borderId="2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0" fillId="0" borderId="0" xfId="0" applyNumberFormat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2">
    <cellStyle name="Normal" xfId="1" xr:uid="{3357EBB1-0273-4916-A93C-7C66AEFE3099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tabSelected="1" zoomScale="85" zoomScaleNormal="85" workbookViewId="0">
      <selection activeCell="D11" sqref="D11:D13"/>
    </sheetView>
  </sheetViews>
  <sheetFormatPr defaultRowHeight="43.5" customHeight="1" x14ac:dyDescent="0.25"/>
  <cols>
    <col min="1" max="1" width="53" customWidth="1"/>
    <col min="2" max="2" width="58.85546875" style="8" customWidth="1"/>
    <col min="3" max="3" width="27.7109375" customWidth="1"/>
    <col min="4" max="4" width="21.85546875" customWidth="1"/>
    <col min="5" max="5" width="19" customWidth="1"/>
    <col min="6" max="6" width="24.140625" customWidth="1"/>
    <col min="7" max="7" width="18.42578125" customWidth="1"/>
    <col min="8" max="8" width="19.42578125" customWidth="1"/>
    <col min="9" max="9" width="21" customWidth="1"/>
    <col min="10" max="10" width="14.5703125" customWidth="1"/>
  </cols>
  <sheetData>
    <row r="1" spans="1:10" ht="43.5" customHeight="1" x14ac:dyDescent="0.25">
      <c r="A1" s="1" t="s">
        <v>48</v>
      </c>
      <c r="B1" s="8" t="s">
        <v>47</v>
      </c>
      <c r="C1" s="18" t="s">
        <v>24</v>
      </c>
      <c r="D1" s="1" t="s">
        <v>0</v>
      </c>
      <c r="E1" s="1" t="s">
        <v>1</v>
      </c>
      <c r="F1" s="1" t="s">
        <v>14</v>
      </c>
      <c r="G1" s="1" t="s">
        <v>2</v>
      </c>
      <c r="H1" s="1" t="s">
        <v>3</v>
      </c>
      <c r="I1" s="1" t="s">
        <v>4</v>
      </c>
      <c r="J1" s="1"/>
    </row>
    <row r="2" spans="1:10" ht="43.5" customHeight="1" x14ac:dyDescent="0.25">
      <c r="A2" s="13" t="s">
        <v>5</v>
      </c>
      <c r="B2" s="35"/>
      <c r="C2" s="19">
        <v>200000</v>
      </c>
      <c r="D2" s="12"/>
      <c r="E2" s="12">
        <f>C2/160</f>
        <v>1250</v>
      </c>
      <c r="F2" s="12">
        <f>E2*1.3</f>
        <v>1625</v>
      </c>
      <c r="G2" s="12"/>
      <c r="H2" s="12">
        <v>6.28</v>
      </c>
      <c r="I2" s="10"/>
      <c r="J2" s="3"/>
    </row>
    <row r="3" spans="1:10" ht="43.5" customHeight="1" x14ac:dyDescent="0.25">
      <c r="B3" s="1" t="s">
        <v>23</v>
      </c>
      <c r="C3" s="18"/>
      <c r="D3" s="5">
        <v>15</v>
      </c>
      <c r="E3" s="9">
        <f>E2*D3</f>
        <v>18750</v>
      </c>
      <c r="F3" s="9">
        <f t="shared" ref="F3:F13" si="0">E3*1.3</f>
        <v>24375</v>
      </c>
      <c r="G3" s="5">
        <f>D3</f>
        <v>15</v>
      </c>
      <c r="I3" s="9">
        <f>G3*$H$2</f>
        <v>94.2</v>
      </c>
      <c r="J3" s="3"/>
    </row>
    <row r="4" spans="1:10" ht="43.5" customHeight="1" x14ac:dyDescent="0.25">
      <c r="A4" s="13" t="s">
        <v>17</v>
      </c>
      <c r="B4" s="35"/>
      <c r="C4" s="20">
        <v>100000</v>
      </c>
      <c r="D4" s="21"/>
      <c r="E4" s="12">
        <f>C4/160</f>
        <v>625</v>
      </c>
      <c r="F4" s="12">
        <f t="shared" si="0"/>
        <v>812.5</v>
      </c>
      <c r="G4" s="21"/>
      <c r="H4" s="10"/>
      <c r="I4" s="10"/>
      <c r="J4" s="3"/>
    </row>
    <row r="5" spans="1:10" ht="43.5" customHeight="1" x14ac:dyDescent="0.25">
      <c r="B5" s="1" t="s">
        <v>21</v>
      </c>
      <c r="C5" s="18"/>
      <c r="D5" s="5">
        <v>30</v>
      </c>
      <c r="E5" s="9">
        <f>E4*D5</f>
        <v>18750</v>
      </c>
      <c r="F5" s="9">
        <f t="shared" si="0"/>
        <v>24375</v>
      </c>
      <c r="G5" s="5">
        <f>D5</f>
        <v>30</v>
      </c>
      <c r="H5" s="1"/>
      <c r="I5" s="9">
        <f>G5*$H$2</f>
        <v>188.4</v>
      </c>
      <c r="J5" s="3"/>
    </row>
    <row r="6" spans="1:10" ht="43.5" customHeight="1" x14ac:dyDescent="0.25">
      <c r="B6" s="1" t="s">
        <v>22</v>
      </c>
      <c r="C6" s="18"/>
      <c r="D6" s="5">
        <v>20</v>
      </c>
      <c r="E6" s="9">
        <f>E4*D6</f>
        <v>12500</v>
      </c>
      <c r="F6" s="9">
        <f t="shared" si="0"/>
        <v>16250</v>
      </c>
      <c r="G6" s="5">
        <f>D6</f>
        <v>20</v>
      </c>
      <c r="H6" s="1"/>
      <c r="I6" s="9">
        <f>G6*$H$2</f>
        <v>125.60000000000001</v>
      </c>
      <c r="J6" s="3"/>
    </row>
    <row r="7" spans="1:10" ht="43.5" customHeight="1" x14ac:dyDescent="0.25">
      <c r="A7" s="13" t="s">
        <v>18</v>
      </c>
      <c r="B7" s="35"/>
      <c r="C7" s="19">
        <v>180000</v>
      </c>
      <c r="D7" s="12"/>
      <c r="E7" s="12">
        <f>C7/160</f>
        <v>1125</v>
      </c>
      <c r="F7" s="12">
        <f t="shared" si="0"/>
        <v>1462.5</v>
      </c>
      <c r="G7" s="12"/>
      <c r="H7" s="10"/>
      <c r="I7" s="10"/>
      <c r="J7" s="3"/>
    </row>
    <row r="8" spans="1:10" ht="43.5" customHeight="1" x14ac:dyDescent="0.25">
      <c r="B8" s="1" t="s">
        <v>6</v>
      </c>
      <c r="C8" s="18"/>
      <c r="D8" s="6">
        <v>20</v>
      </c>
      <c r="E8" s="9">
        <f>E7*D8</f>
        <v>22500</v>
      </c>
      <c r="F8" s="9">
        <f t="shared" si="0"/>
        <v>29250</v>
      </c>
      <c r="G8" s="6">
        <f>D8</f>
        <v>20</v>
      </c>
      <c r="H8" s="1"/>
      <c r="I8" s="9">
        <f>G8*$H$2</f>
        <v>125.60000000000001</v>
      </c>
      <c r="J8" s="3"/>
    </row>
    <row r="9" spans="1:10" ht="43.5" customHeight="1" x14ac:dyDescent="0.25">
      <c r="B9" s="1" t="s">
        <v>7</v>
      </c>
      <c r="C9" s="18"/>
      <c r="D9" s="6">
        <v>15</v>
      </c>
      <c r="E9" s="9">
        <f>E7*D9</f>
        <v>16875</v>
      </c>
      <c r="F9" s="9">
        <f t="shared" si="0"/>
        <v>21937.5</v>
      </c>
      <c r="G9" s="6">
        <f t="shared" ref="G9:G11" si="1">D9</f>
        <v>15</v>
      </c>
      <c r="H9" s="1"/>
      <c r="I9" s="9">
        <f>G9*$H$2</f>
        <v>94.2</v>
      </c>
      <c r="J9" s="3"/>
    </row>
    <row r="10" spans="1:10" ht="43.5" customHeight="1" x14ac:dyDescent="0.25">
      <c r="B10" s="1" t="s">
        <v>8</v>
      </c>
      <c r="C10" s="18"/>
      <c r="D10" s="6">
        <v>15</v>
      </c>
      <c r="E10" s="9">
        <f>E7*D10</f>
        <v>16875</v>
      </c>
      <c r="F10" s="9">
        <f t="shared" si="0"/>
        <v>21937.5</v>
      </c>
      <c r="G10" s="6">
        <f t="shared" si="1"/>
        <v>15</v>
      </c>
      <c r="H10" s="1"/>
      <c r="I10" s="9">
        <f>G10*$H$2</f>
        <v>94.2</v>
      </c>
      <c r="J10" s="3"/>
    </row>
    <row r="11" spans="1:10" ht="43.5" customHeight="1" x14ac:dyDescent="0.25">
      <c r="A11" s="36"/>
      <c r="B11" s="10" t="s">
        <v>9</v>
      </c>
      <c r="C11" s="22"/>
      <c r="D11" s="11">
        <v>30</v>
      </c>
      <c r="E11" s="12">
        <f>E7*D11</f>
        <v>33750</v>
      </c>
      <c r="F11" s="12">
        <f t="shared" si="0"/>
        <v>43875</v>
      </c>
      <c r="G11" s="7">
        <f>D11</f>
        <v>30</v>
      </c>
      <c r="H11" s="10"/>
      <c r="I11" s="9">
        <f>G11*$H$2</f>
        <v>188.4</v>
      </c>
      <c r="J11" s="3"/>
    </row>
    <row r="12" spans="1:10" ht="43.5" customHeight="1" x14ac:dyDescent="0.25">
      <c r="A12" s="2" t="s">
        <v>19</v>
      </c>
      <c r="C12" s="15">
        <v>120000</v>
      </c>
      <c r="D12" s="16"/>
      <c r="E12" s="9">
        <f>C12/160</f>
        <v>750</v>
      </c>
      <c r="F12" s="9">
        <f t="shared" si="0"/>
        <v>975</v>
      </c>
      <c r="G12" s="16"/>
      <c r="H12" s="17"/>
      <c r="I12" s="17"/>
      <c r="J12" s="4"/>
    </row>
    <row r="13" spans="1:10" ht="43.5" customHeight="1" x14ac:dyDescent="0.25">
      <c r="B13" s="1" t="s">
        <v>20</v>
      </c>
      <c r="C13" s="18"/>
      <c r="D13" s="7">
        <v>40</v>
      </c>
      <c r="E13" s="9">
        <f>E12*D13</f>
        <v>30000</v>
      </c>
      <c r="F13" s="9">
        <f t="shared" si="0"/>
        <v>39000</v>
      </c>
      <c r="G13" s="7">
        <f>D13</f>
        <v>40</v>
      </c>
      <c r="H13" s="17"/>
      <c r="I13" s="17"/>
    </row>
    <row r="14" spans="1:10" ht="43.5" customHeight="1" x14ac:dyDescent="0.25">
      <c r="A14" s="13" t="s">
        <v>25</v>
      </c>
      <c r="B14" s="35"/>
      <c r="C14" s="22"/>
      <c r="D14" s="13">
        <f>SUM(D13,D8:D11,D5:D6,D3)</f>
        <v>185</v>
      </c>
      <c r="E14" s="14">
        <f>SUM(E13,E8:E11,E5:E6,E2:E3)</f>
        <v>171250</v>
      </c>
      <c r="F14" s="14">
        <f>SUM(F13,F11,F8:F11,F5:F6,F3)</f>
        <v>264875</v>
      </c>
      <c r="G14" s="13">
        <f>SUM(G3:G13)</f>
        <v>185</v>
      </c>
      <c r="H14" s="10"/>
      <c r="I14" s="23">
        <f>SUM(I3:I13)</f>
        <v>910.60000000000014</v>
      </c>
      <c r="J14" s="25">
        <f>SUM(I14,F14,E14)</f>
        <v>437035.6</v>
      </c>
    </row>
    <row r="15" spans="1:10" ht="43.5" customHeight="1" x14ac:dyDescent="0.25">
      <c r="A15" s="17"/>
      <c r="B15" s="18"/>
      <c r="C15" s="17"/>
      <c r="D15" s="17"/>
      <c r="E15" s="17"/>
      <c r="F15" s="17"/>
      <c r="G15" s="17"/>
      <c r="H15" s="17"/>
    </row>
    <row r="16" spans="1:10" ht="43.5" customHeight="1" x14ac:dyDescent="0.25">
      <c r="A16" s="24" t="s">
        <v>15</v>
      </c>
      <c r="B16" s="18"/>
      <c r="C16" s="17"/>
      <c r="D16" s="17"/>
      <c r="E16" s="17"/>
      <c r="F16" s="17"/>
      <c r="G16" s="17"/>
      <c r="H16" s="17"/>
    </row>
    <row r="17" spans="1:8" ht="43.5" customHeight="1" x14ac:dyDescent="0.25">
      <c r="A17" s="24" t="s">
        <v>16</v>
      </c>
      <c r="B17" s="18"/>
      <c r="C17" s="17"/>
      <c r="D17" s="17"/>
      <c r="E17" s="17"/>
      <c r="F17" s="17"/>
      <c r="G17" s="17"/>
      <c r="H17" s="1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5F8C-E7E0-4123-A2F4-06768FB53585}">
  <dimension ref="A1:M12"/>
  <sheetViews>
    <sheetView zoomScaleNormal="100" workbookViewId="0">
      <selection activeCell="G3" sqref="G3"/>
    </sheetView>
  </sheetViews>
  <sheetFormatPr defaultRowHeight="15" x14ac:dyDescent="0.25"/>
  <cols>
    <col min="1" max="1" width="40" customWidth="1"/>
    <col min="2" max="2" width="37.140625" customWidth="1"/>
    <col min="3" max="3" width="20.7109375" customWidth="1"/>
    <col min="4" max="4" width="19.5703125" customWidth="1"/>
    <col min="5" max="5" width="22.42578125" customWidth="1"/>
    <col min="6" max="6" width="27" customWidth="1"/>
    <col min="7" max="7" width="22.85546875" customWidth="1"/>
    <col min="8" max="8" width="24.28515625" customWidth="1"/>
    <col min="9" max="9" width="24.42578125" customWidth="1"/>
    <col min="10" max="10" width="13.7109375" customWidth="1"/>
    <col min="11" max="11" width="9.140625" customWidth="1"/>
  </cols>
  <sheetData>
    <row r="1" spans="1:13" ht="100.5" customHeight="1" x14ac:dyDescent="0.25">
      <c r="A1" s="26" t="s">
        <v>26</v>
      </c>
      <c r="B1" s="26" t="s">
        <v>27</v>
      </c>
      <c r="C1" s="26" t="s">
        <v>38</v>
      </c>
      <c r="D1" s="26" t="s">
        <v>44</v>
      </c>
      <c r="E1" s="26" t="s">
        <v>37</v>
      </c>
      <c r="F1" s="26" t="s">
        <v>36</v>
      </c>
      <c r="G1" s="26" t="s">
        <v>35</v>
      </c>
      <c r="H1" s="26" t="s">
        <v>10</v>
      </c>
      <c r="I1" s="26" t="s">
        <v>34</v>
      </c>
      <c r="J1" s="26" t="s">
        <v>41</v>
      </c>
      <c r="K1" s="26" t="s">
        <v>12</v>
      </c>
      <c r="M1" s="26"/>
    </row>
    <row r="2" spans="1:13" ht="62.25" customHeight="1" x14ac:dyDescent="0.25">
      <c r="A2" s="27" t="s">
        <v>28</v>
      </c>
      <c r="C2" s="32">
        <v>80000</v>
      </c>
      <c r="E2" s="34"/>
      <c r="F2" s="34"/>
      <c r="M2" s="8"/>
    </row>
    <row r="3" spans="1:13" ht="46.5" customHeight="1" x14ac:dyDescent="0.25">
      <c r="A3" s="27"/>
      <c r="B3" s="27" t="s">
        <v>30</v>
      </c>
      <c r="C3" s="32"/>
      <c r="D3" s="29">
        <v>30</v>
      </c>
      <c r="E3" s="32">
        <f>C2/160</f>
        <v>500</v>
      </c>
      <c r="F3" s="32">
        <f>$E$4*1.3</f>
        <v>650</v>
      </c>
      <c r="G3" s="32">
        <f>F3*D3/60</f>
        <v>325</v>
      </c>
      <c r="H3" s="32">
        <v>0</v>
      </c>
      <c r="I3" s="32">
        <v>200</v>
      </c>
      <c r="J3" s="32">
        <v>6.28</v>
      </c>
      <c r="K3" s="32">
        <v>0</v>
      </c>
      <c r="M3" s="8"/>
    </row>
    <row r="4" spans="1:13" ht="45" customHeight="1" x14ac:dyDescent="0.25">
      <c r="B4" s="27" t="s">
        <v>45</v>
      </c>
      <c r="C4" s="34"/>
      <c r="D4" s="29">
        <v>30</v>
      </c>
      <c r="E4" s="32">
        <f>C2/160</f>
        <v>500</v>
      </c>
      <c r="F4" s="32">
        <f>$E$4*1.3</f>
        <v>650</v>
      </c>
      <c r="G4" s="32">
        <f>F4*D4/60</f>
        <v>325</v>
      </c>
      <c r="H4" s="32">
        <v>0</v>
      </c>
      <c r="I4" s="32">
        <v>200</v>
      </c>
      <c r="J4" s="32">
        <v>6.28</v>
      </c>
      <c r="K4" s="32">
        <v>0</v>
      </c>
      <c r="M4" s="8"/>
    </row>
    <row r="5" spans="1:13" ht="45" customHeight="1" x14ac:dyDescent="0.25">
      <c r="B5" t="s">
        <v>46</v>
      </c>
      <c r="C5" s="34"/>
      <c r="D5" s="29">
        <v>30</v>
      </c>
      <c r="E5" s="32">
        <f>C2/160</f>
        <v>500</v>
      </c>
      <c r="F5" s="32">
        <f>E4*1.3</f>
        <v>650</v>
      </c>
      <c r="G5" s="32">
        <f>F5*D5/60</f>
        <v>325</v>
      </c>
      <c r="H5" s="32">
        <v>0</v>
      </c>
      <c r="I5" s="32">
        <v>200</v>
      </c>
      <c r="J5" s="32">
        <v>6.28</v>
      </c>
      <c r="K5" s="32">
        <v>0</v>
      </c>
      <c r="M5" s="8"/>
    </row>
    <row r="6" spans="1:13" ht="39" customHeight="1" x14ac:dyDescent="0.25">
      <c r="A6" s="27" t="s">
        <v>13</v>
      </c>
      <c r="C6" s="34"/>
      <c r="E6" s="34"/>
      <c r="F6" s="34"/>
      <c r="G6" s="34"/>
      <c r="H6" s="34"/>
      <c r="I6" s="34"/>
      <c r="J6" s="34"/>
      <c r="K6" s="34"/>
      <c r="M6" s="31"/>
    </row>
    <row r="7" spans="1:13" ht="37.5" customHeight="1" x14ac:dyDescent="0.25">
      <c r="B7" s="27" t="s">
        <v>31</v>
      </c>
      <c r="C7" s="32">
        <v>110000</v>
      </c>
      <c r="D7" s="29">
        <v>120</v>
      </c>
      <c r="E7" s="32">
        <f>C7/160</f>
        <v>687.5</v>
      </c>
      <c r="F7" s="32">
        <f>E7*1.3</f>
        <v>893.75</v>
      </c>
      <c r="G7" s="32">
        <f>F7*D7/60</f>
        <v>1787.5</v>
      </c>
      <c r="H7" s="32">
        <v>0</v>
      </c>
      <c r="I7" s="32">
        <v>200</v>
      </c>
      <c r="J7" s="32">
        <v>6.28</v>
      </c>
      <c r="K7" s="32">
        <v>0</v>
      </c>
    </row>
    <row r="8" spans="1:13" ht="22.5" customHeight="1" x14ac:dyDescent="0.25">
      <c r="A8" s="27" t="s">
        <v>33</v>
      </c>
      <c r="C8" s="34"/>
      <c r="E8" s="34"/>
      <c r="F8" s="34"/>
      <c r="G8" s="34"/>
      <c r="H8" s="34"/>
      <c r="I8" s="34"/>
      <c r="J8" s="34"/>
      <c r="K8" s="34"/>
    </row>
    <row r="9" spans="1:13" ht="25.5" customHeight="1" x14ac:dyDescent="0.25">
      <c r="B9" s="27" t="s">
        <v>39</v>
      </c>
      <c r="C9" s="32">
        <v>40000</v>
      </c>
      <c r="D9" s="29">
        <v>15</v>
      </c>
      <c r="E9" s="32">
        <f>C9/160</f>
        <v>250</v>
      </c>
      <c r="F9" s="32">
        <f>E9*1.3</f>
        <v>325</v>
      </c>
      <c r="G9" s="32">
        <f>F9*D9/60</f>
        <v>81.25</v>
      </c>
      <c r="H9" s="32">
        <v>0</v>
      </c>
      <c r="I9" s="32">
        <v>50</v>
      </c>
      <c r="J9" s="32">
        <v>6.28</v>
      </c>
      <c r="K9" s="32">
        <v>10</v>
      </c>
    </row>
    <row r="10" spans="1:13" ht="31.5" customHeight="1" x14ac:dyDescent="0.25">
      <c r="A10" s="28" t="s">
        <v>32</v>
      </c>
      <c r="B10" s="27"/>
      <c r="D10" s="30">
        <f>SUM(D3:D9)</f>
        <v>225</v>
      </c>
      <c r="F10" s="8"/>
      <c r="G10" s="31">
        <f>SUM(G3:G9)</f>
        <v>2843.75</v>
      </c>
      <c r="H10" s="31">
        <f>SUM(H3:H9)</f>
        <v>0</v>
      </c>
      <c r="I10" s="31">
        <f>SUM(I3:I9)</f>
        <v>850</v>
      </c>
      <c r="K10" s="31">
        <f>SUM(K3:K9)</f>
        <v>10</v>
      </c>
    </row>
    <row r="11" spans="1:13" ht="39" customHeight="1" x14ac:dyDescent="0.25"/>
    <row r="12" spans="1:13" ht="37.5" customHeight="1" x14ac:dyDescent="0.25"/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5B7F5-CAFF-410E-992B-EB1BECDFF908}">
  <dimension ref="A1:M13"/>
  <sheetViews>
    <sheetView zoomScale="85" zoomScaleNormal="85" workbookViewId="0">
      <selection activeCell="L12" sqref="L12"/>
    </sheetView>
  </sheetViews>
  <sheetFormatPr defaultRowHeight="15" x14ac:dyDescent="0.25"/>
  <cols>
    <col min="1" max="1" width="40" customWidth="1"/>
    <col min="2" max="2" width="35.7109375" customWidth="1"/>
    <col min="3" max="3" width="20.7109375" customWidth="1"/>
    <col min="4" max="4" width="19.5703125" customWidth="1"/>
    <col min="5" max="5" width="22.42578125" customWidth="1"/>
    <col min="6" max="6" width="27" customWidth="1"/>
    <col min="7" max="7" width="22.85546875" customWidth="1"/>
    <col min="8" max="8" width="24.28515625" customWidth="1"/>
    <col min="9" max="9" width="24.42578125" customWidth="1"/>
    <col min="10" max="10" width="13.7109375" customWidth="1"/>
    <col min="11" max="11" width="14.28515625" customWidth="1"/>
    <col min="12" max="12" width="17.7109375" customWidth="1"/>
    <col min="13" max="13" width="19.28515625" customWidth="1"/>
  </cols>
  <sheetData>
    <row r="1" spans="1:13" ht="100.5" customHeight="1" x14ac:dyDescent="0.25">
      <c r="A1" s="26" t="s">
        <v>26</v>
      </c>
      <c r="B1" s="26" t="s">
        <v>27</v>
      </c>
      <c r="C1" s="26" t="s">
        <v>38</v>
      </c>
      <c r="D1" s="26" t="s">
        <v>40</v>
      </c>
      <c r="E1" s="26" t="s">
        <v>43</v>
      </c>
      <c r="F1" s="26" t="s">
        <v>37</v>
      </c>
      <c r="G1" s="26" t="s">
        <v>36</v>
      </c>
      <c r="H1" s="26" t="s">
        <v>35</v>
      </c>
      <c r="I1" s="26" t="s">
        <v>10</v>
      </c>
      <c r="J1" s="26" t="s">
        <v>34</v>
      </c>
      <c r="K1" s="26" t="s">
        <v>11</v>
      </c>
      <c r="L1" s="26" t="s">
        <v>12</v>
      </c>
    </row>
    <row r="2" spans="1:13" ht="62.25" customHeight="1" x14ac:dyDescent="0.25">
      <c r="A2" s="27" t="s">
        <v>28</v>
      </c>
      <c r="C2" s="32">
        <v>80000</v>
      </c>
    </row>
    <row r="3" spans="1:13" ht="46.5" customHeight="1" x14ac:dyDescent="0.25">
      <c r="B3" s="27" t="s">
        <v>30</v>
      </c>
      <c r="D3" s="29">
        <v>5</v>
      </c>
      <c r="E3" s="29">
        <v>5</v>
      </c>
      <c r="F3" s="32">
        <f>C2/160</f>
        <v>500</v>
      </c>
      <c r="G3" s="32">
        <f>F3*1.3</f>
        <v>650</v>
      </c>
      <c r="H3" s="32">
        <f>G3*D3/60</f>
        <v>54.166666666666664</v>
      </c>
      <c r="I3" s="32">
        <v>100</v>
      </c>
      <c r="J3" s="32">
        <v>0</v>
      </c>
      <c r="K3" s="32">
        <v>6.28</v>
      </c>
      <c r="L3" s="32">
        <v>20</v>
      </c>
    </row>
    <row r="4" spans="1:13" ht="45" customHeight="1" x14ac:dyDescent="0.25">
      <c r="B4" s="27" t="s">
        <v>29</v>
      </c>
      <c r="D4" s="29">
        <v>15</v>
      </c>
      <c r="E4" s="29">
        <v>15</v>
      </c>
      <c r="F4" s="32">
        <f>C2/160</f>
        <v>500</v>
      </c>
      <c r="G4" s="32">
        <f t="shared" ref="G4:G5" si="0">F4*1.3</f>
        <v>650</v>
      </c>
      <c r="H4" s="32">
        <f t="shared" ref="H4:H5" si="1">G4*D4/60</f>
        <v>162.5</v>
      </c>
      <c r="I4" s="32">
        <v>100</v>
      </c>
      <c r="J4" s="32">
        <v>0</v>
      </c>
      <c r="K4" s="32">
        <v>6.28</v>
      </c>
      <c r="L4" s="32">
        <v>20</v>
      </c>
    </row>
    <row r="5" spans="1:13" ht="45" customHeight="1" x14ac:dyDescent="0.25">
      <c r="B5" t="s">
        <v>46</v>
      </c>
      <c r="D5" s="8">
        <v>30</v>
      </c>
      <c r="E5" s="8">
        <v>30</v>
      </c>
      <c r="F5" s="32">
        <f>C2/160</f>
        <v>500</v>
      </c>
      <c r="G5" s="32">
        <f t="shared" si="0"/>
        <v>650</v>
      </c>
      <c r="H5" s="32">
        <f t="shared" si="1"/>
        <v>325</v>
      </c>
      <c r="I5" s="32">
        <v>100</v>
      </c>
      <c r="J5" s="32">
        <v>0</v>
      </c>
      <c r="K5" s="32">
        <v>6.28</v>
      </c>
      <c r="L5" s="32">
        <v>20</v>
      </c>
    </row>
    <row r="6" spans="1:13" ht="39" customHeight="1" x14ac:dyDescent="0.25">
      <c r="A6" s="27" t="s">
        <v>42</v>
      </c>
      <c r="C6" s="32"/>
      <c r="F6" s="32"/>
      <c r="G6" s="32"/>
      <c r="H6" s="32"/>
      <c r="I6" s="32"/>
      <c r="J6" s="32"/>
      <c r="K6" s="32"/>
      <c r="L6" s="32"/>
    </row>
    <row r="7" spans="1:13" ht="37.5" customHeight="1" x14ac:dyDescent="0.25">
      <c r="B7" s="27" t="s">
        <v>31</v>
      </c>
      <c r="D7" s="29">
        <v>5</v>
      </c>
      <c r="E7" s="29">
        <v>5</v>
      </c>
      <c r="F7" s="32">
        <f>C6/160</f>
        <v>0</v>
      </c>
      <c r="G7" s="32">
        <f t="shared" ref="G6:G8" si="2">F7*1.3</f>
        <v>0</v>
      </c>
      <c r="H7" s="32">
        <f>G7*D7/60</f>
        <v>0</v>
      </c>
      <c r="I7" s="32">
        <v>500</v>
      </c>
      <c r="J7" s="32">
        <v>0</v>
      </c>
      <c r="K7" s="32">
        <v>6.28</v>
      </c>
      <c r="L7" s="32">
        <v>50</v>
      </c>
    </row>
    <row r="8" spans="1:13" ht="32.25" customHeight="1" x14ac:dyDescent="0.25">
      <c r="A8" s="27" t="s">
        <v>33</v>
      </c>
      <c r="C8" s="32">
        <v>40000</v>
      </c>
      <c r="K8" s="32"/>
    </row>
    <row r="9" spans="1:13" ht="33" customHeight="1" x14ac:dyDescent="0.25">
      <c r="B9" s="27" t="s">
        <v>39</v>
      </c>
      <c r="D9" s="29">
        <v>5</v>
      </c>
      <c r="E9" s="29">
        <v>5</v>
      </c>
      <c r="F9" s="32">
        <f>C8/160</f>
        <v>250</v>
      </c>
      <c r="G9" s="32">
        <f>F9*1.3</f>
        <v>325</v>
      </c>
      <c r="H9" s="32">
        <f>G9*D9/60</f>
        <v>27.083333333333332</v>
      </c>
      <c r="I9" s="32">
        <v>0</v>
      </c>
      <c r="J9" s="32">
        <v>50</v>
      </c>
      <c r="K9" s="32">
        <v>6.28</v>
      </c>
      <c r="L9" s="32">
        <v>10</v>
      </c>
    </row>
    <row r="10" spans="1:13" ht="31.5" customHeight="1" x14ac:dyDescent="0.25">
      <c r="A10" s="28" t="s">
        <v>32</v>
      </c>
      <c r="B10" s="27"/>
      <c r="D10" s="30">
        <f>SUM(D3:D9)</f>
        <v>60</v>
      </c>
      <c r="E10" s="30">
        <f>SUM(E3:E9)</f>
        <v>60</v>
      </c>
      <c r="F10" s="8"/>
      <c r="H10" s="33">
        <f>SUM(H3:H9)</f>
        <v>568.75</v>
      </c>
      <c r="I10" s="33">
        <f>SUM(I3:I9)</f>
        <v>800</v>
      </c>
      <c r="J10" s="33">
        <f>SUM(J3:J9)</f>
        <v>50</v>
      </c>
      <c r="K10" s="33"/>
      <c r="L10" s="33">
        <f>SUM(L3:L9)</f>
        <v>120</v>
      </c>
    </row>
    <row r="11" spans="1:13" ht="39" customHeight="1" x14ac:dyDescent="0.25"/>
    <row r="12" spans="1:13" ht="37.5" customHeight="1" x14ac:dyDescent="0.25"/>
    <row r="13" spans="1:13" ht="18.75" x14ac:dyDescent="0.25">
      <c r="L13" s="31"/>
      <c r="M13" s="3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1</vt:lpstr>
      <vt:lpstr>2</vt:lpstr>
      <vt:lpstr>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dix1k</dc:creator>
  <cp:lastModifiedBy>Дмитрий Власов</cp:lastModifiedBy>
  <dcterms:created xsi:type="dcterms:W3CDTF">2015-06-05T18:19:34Z</dcterms:created>
  <dcterms:modified xsi:type="dcterms:W3CDTF">2026-05-19T09:43:59Z</dcterms:modified>
</cp:coreProperties>
</file>