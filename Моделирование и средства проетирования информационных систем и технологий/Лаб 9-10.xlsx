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\data-storage\Моделирование и средства проетирования информационных систем и технологий\"/>
    </mc:Choice>
  </mc:AlternateContent>
  <xr:revisionPtr revIDLastSave="0" documentId="13_ncr:1_{D8604CA3-D2C0-4FE0-B5EF-C2A35951093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4" i="1"/>
  <c r="G5" i="1"/>
  <c r="G6" i="1"/>
  <c r="G7" i="1"/>
  <c r="G8" i="1"/>
  <c r="G9" i="1"/>
  <c r="G10" i="1"/>
  <c r="G11" i="1"/>
  <c r="G3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dix1k</author>
  </authors>
  <commentList>
    <comment ref="C1" authorId="0" shapeId="0" xr:uid="{0586EDCE-229B-4C0E-BE7C-B9BE0DA113F2}">
      <text>
        <r>
          <rPr>
            <b/>
            <sz val="9"/>
            <color indexed="81"/>
            <rFont val="Tahoma"/>
            <charset val="1"/>
          </rPr>
          <t>dix1k:</t>
        </r>
        <r>
          <rPr>
            <sz val="9"/>
            <color indexed="81"/>
            <rFont val="Tahoma"/>
            <charset val="1"/>
          </rPr>
          <t xml:space="preserve">
от какой з/п</t>
        </r>
      </text>
    </comment>
  </commentList>
</comments>
</file>

<file path=xl/sharedStrings.xml><?xml version="1.0" encoding="utf-8"?>
<sst xmlns="http://schemas.openxmlformats.org/spreadsheetml/2006/main" count="163" uniqueCount="53">
  <si>
    <t>Исполнители и выполняемые стадии / работы</t>
  </si>
  <si>
    <t>Трудоемкость, час</t>
  </si>
  <si>
    <t>Ставка исполнителя, руб./час</t>
  </si>
  <si>
    <t>Машинное время, час</t>
  </si>
  <si>
    <t>Стоим. 1 часа маш. вр., руб.</t>
  </si>
  <si>
    <t>Коп (маш. вр.)</t>
  </si>
  <si>
    <t>Аналитик (бизнес-анализ)</t>
  </si>
  <si>
    <t>1. Анализ кредитного процесса (документооборот, скоринг, проверки)</t>
  </si>
  <si>
    <t>2. Формализация требований к ИС (ТЗ, прототипы экранов)</t>
  </si>
  <si>
    <t>Руководитель проекта</t>
  </si>
  <si>
    <t>3. Управление проектом, согласование, постановка задач</t>
  </si>
  <si>
    <t>Программист (разработка и отладка)</t>
  </si>
  <si>
    <t>4. Разработка модуля «Анкета заемщика и скоринг»</t>
  </si>
  <si>
    <t>5. Разработка интеграции с БКИ (кредитная история)</t>
  </si>
  <si>
    <t>6. Расчет ПДН и формирование графика платежей</t>
  </si>
  <si>
    <t>7. Тестирование и отладка</t>
  </si>
  <si>
    <t>ИТОГО по стадиям</t>
  </si>
  <si>
    <t>Исполнители и подпроцессы</t>
  </si>
  <si>
    <t>Трудоемкость, час (То)</t>
  </si>
  <si>
    <t>Ставка с отчисл., руб.</t>
  </si>
  <si>
    <t>Сзп (с отчисл.)</t>
  </si>
  <si>
    <t>Сто</t>
  </si>
  <si>
    <t>Сни</t>
  </si>
  <si>
    <t>Сэл</t>
  </si>
  <si>
    <t>Срем</t>
  </si>
  <si>
    <t>Ссп</t>
  </si>
  <si>
    <t>Спр</t>
  </si>
  <si>
    <t>Кредитный эксперт</t>
  </si>
  <si>
    <t>- Прием заявки и документов</t>
  </si>
  <si>
    <t>—</t>
  </si>
  <si>
    <t>- Ввод данных в систему</t>
  </si>
  <si>
    <t>- Выдача кредита</t>
  </si>
  <si>
    <t>Андеррайтер</t>
  </si>
  <si>
    <t>- Проверка кредитной истории</t>
  </si>
  <si>
    <t>- Скоринг и расчет ПДН</t>
  </si>
  <si>
    <t>Юрист</t>
  </si>
  <si>
    <t>- Подготовка договора</t>
  </si>
  <si>
    <t>Обслуживающий персонал (ИТ)</t>
  </si>
  <si>
    <t>- Техподдержка (на 1 заявку)</t>
  </si>
  <si>
    <t>0,002</t>
  </si>
  <si>
    <t>ИТОГО по процессу</t>
  </si>
  <si>
    <t>Трудоемкость, час (Т1)</t>
  </si>
  <si>
    <t>- Ввод данных в систему (автозаполнение)</t>
  </si>
  <si>
    <t>- Проверка кредитной истории (авто)</t>
  </si>
  <si>
    <t>- Скоринг и расчет ПДН (авто)</t>
  </si>
  <si>
    <t>- Подготовка договора (шаблон + автоподстановка)</t>
  </si>
  <si>
    <t>0,01</t>
  </si>
  <si>
    <t>Программное обеспечение (автоматика)</t>
  </si>
  <si>
    <t>- Техподдержка ИС (на 1 заявку)</t>
  </si>
  <si>
    <t>0,008</t>
  </si>
  <si>
    <t>С отчислениями</t>
  </si>
  <si>
    <t>з/п?  Как высчитал стоимость часа??</t>
  </si>
  <si>
    <t>затраты на внедрение??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</si>
</sst>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3" fontId="2" fillId="0" borderId="0" xfId="0" applyNumberFormat="1" applyFont="1" applyAlignment="1">
      <alignment horizontal="left" vertical="center" wrapText="1" indent="1"/>
    </xf>
    <xf numFmtId="3" fontId="3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opLeftCell="A10" workbookViewId="0">
      <selection activeCell="C17" sqref="C17"/>
    </sheetView>
  </sheetViews>
  <sheetFormatPr defaultRowHeight="43.5" customHeight="1" x14ac:dyDescent="0.25"/>
  <cols>
    <col min="1" max="1" width="53" customWidth="1"/>
    <col min="2" max="2" width="23.28515625" customWidth="1"/>
    <col min="3" max="3" width="27.7109375" customWidth="1"/>
    <col min="4" max="4" width="21.85546875" customWidth="1"/>
    <col min="5" max="5" width="19" customWidth="1"/>
    <col min="6" max="6" width="24.140625" customWidth="1"/>
    <col min="7" max="7" width="18.42578125" customWidth="1"/>
    <col min="8" max="8" width="19.42578125" customWidth="1"/>
    <col min="9" max="9" width="21" customWidth="1"/>
    <col min="10" max="10" width="14.5703125" customWidth="1"/>
  </cols>
  <sheetData>
    <row r="1" spans="1:9" ht="43.5" customHeight="1" x14ac:dyDescent="0.25">
      <c r="A1" s="1" t="s">
        <v>0</v>
      </c>
      <c r="B1" s="1" t="s">
        <v>1</v>
      </c>
      <c r="C1" s="1" t="s">
        <v>2</v>
      </c>
      <c r="D1" s="1" t="s">
        <v>50</v>
      </c>
      <c r="E1" s="1" t="s">
        <v>3</v>
      </c>
      <c r="F1" s="1" t="s">
        <v>4</v>
      </c>
      <c r="G1" s="1" t="s">
        <v>5</v>
      </c>
      <c r="H1" s="1"/>
      <c r="I1" s="1"/>
    </row>
    <row r="2" spans="1:9" ht="43.5" customHeight="1" x14ac:dyDescent="0.25">
      <c r="A2" s="2" t="s">
        <v>6</v>
      </c>
      <c r="B2" s="3"/>
      <c r="C2" s="3">
        <v>500</v>
      </c>
      <c r="D2" s="3">
        <v>650</v>
      </c>
      <c r="E2" s="3"/>
      <c r="F2" s="3"/>
      <c r="G2" s="3"/>
      <c r="H2" s="3"/>
      <c r="I2" s="3"/>
    </row>
    <row r="3" spans="1:9" ht="43.5" customHeight="1" x14ac:dyDescent="0.25">
      <c r="A3" s="1" t="s">
        <v>7</v>
      </c>
      <c r="B3" s="1">
        <v>20</v>
      </c>
      <c r="C3" s="4">
        <v>10000</v>
      </c>
      <c r="D3" s="4">
        <v>13000</v>
      </c>
      <c r="E3" s="1">
        <v>20</v>
      </c>
      <c r="F3" s="1">
        <v>6.28</v>
      </c>
      <c r="G3" s="1">
        <f>E3*F3</f>
        <v>125.60000000000001</v>
      </c>
      <c r="H3" s="1"/>
      <c r="I3" s="3"/>
    </row>
    <row r="4" spans="1:9" ht="43.5" customHeight="1" x14ac:dyDescent="0.25">
      <c r="A4" s="1" t="s">
        <v>8</v>
      </c>
      <c r="B4" s="1">
        <v>36</v>
      </c>
      <c r="C4" s="4">
        <v>8000</v>
      </c>
      <c r="D4" s="4">
        <v>10400</v>
      </c>
      <c r="E4" s="1">
        <v>36</v>
      </c>
      <c r="F4" s="1">
        <v>6.28</v>
      </c>
      <c r="G4" s="1">
        <f t="shared" ref="G4:G11" si="0">E4*F4</f>
        <v>226.08</v>
      </c>
      <c r="H4" s="1"/>
      <c r="I4" s="3"/>
    </row>
    <row r="5" spans="1:9" ht="43.5" customHeight="1" x14ac:dyDescent="0.25">
      <c r="A5" s="2" t="s">
        <v>9</v>
      </c>
      <c r="B5" s="3"/>
      <c r="C5" s="3">
        <v>700</v>
      </c>
      <c r="D5" s="3">
        <v>910</v>
      </c>
      <c r="E5" s="3"/>
      <c r="F5" s="3"/>
      <c r="G5" s="1">
        <f t="shared" si="0"/>
        <v>0</v>
      </c>
      <c r="H5" s="3"/>
      <c r="I5" s="3"/>
    </row>
    <row r="6" spans="1:9" ht="43.5" customHeight="1" x14ac:dyDescent="0.25">
      <c r="A6" s="1" t="s">
        <v>10</v>
      </c>
      <c r="B6" s="1">
        <v>10</v>
      </c>
      <c r="C6" s="4">
        <v>7000</v>
      </c>
      <c r="D6" s="4">
        <v>9100</v>
      </c>
      <c r="E6" s="1">
        <v>10</v>
      </c>
      <c r="F6" s="1">
        <v>6.28</v>
      </c>
      <c r="G6" s="1">
        <f t="shared" si="0"/>
        <v>62.800000000000004</v>
      </c>
      <c r="H6" s="1"/>
      <c r="I6" s="3"/>
    </row>
    <row r="7" spans="1:9" ht="43.5" customHeight="1" x14ac:dyDescent="0.25">
      <c r="A7" s="2" t="s">
        <v>11</v>
      </c>
      <c r="B7" s="3"/>
      <c r="C7" s="3">
        <v>500</v>
      </c>
      <c r="D7" s="3">
        <v>650</v>
      </c>
      <c r="E7" s="3"/>
      <c r="F7" s="3"/>
      <c r="G7" s="1">
        <f t="shared" si="0"/>
        <v>0</v>
      </c>
      <c r="H7" s="3"/>
      <c r="I7" s="3"/>
    </row>
    <row r="8" spans="1:9" ht="43.5" customHeight="1" x14ac:dyDescent="0.25">
      <c r="A8" s="1" t="s">
        <v>12</v>
      </c>
      <c r="B8" s="1">
        <v>20</v>
      </c>
      <c r="C8" s="4">
        <v>20000</v>
      </c>
      <c r="D8" s="4">
        <v>26000</v>
      </c>
      <c r="E8" s="1">
        <v>20</v>
      </c>
      <c r="F8" s="1">
        <v>6.28</v>
      </c>
      <c r="G8" s="1">
        <f t="shared" si="0"/>
        <v>125.60000000000001</v>
      </c>
      <c r="H8" s="1"/>
      <c r="I8" s="3"/>
    </row>
    <row r="9" spans="1:9" ht="43.5" customHeight="1" x14ac:dyDescent="0.25">
      <c r="A9" s="1" t="s">
        <v>13</v>
      </c>
      <c r="B9" s="1">
        <v>24</v>
      </c>
      <c r="C9" s="4">
        <v>12000</v>
      </c>
      <c r="D9" s="4">
        <v>15600</v>
      </c>
      <c r="E9" s="1">
        <v>24</v>
      </c>
      <c r="F9" s="1">
        <v>6.28</v>
      </c>
      <c r="G9" s="1">
        <f t="shared" si="0"/>
        <v>150.72</v>
      </c>
      <c r="H9" s="1"/>
      <c r="I9" s="3"/>
    </row>
    <row r="10" spans="1:9" ht="43.5" customHeight="1" x14ac:dyDescent="0.25">
      <c r="A10" s="1" t="s">
        <v>14</v>
      </c>
      <c r="B10" s="1">
        <v>20</v>
      </c>
      <c r="C10" s="4">
        <v>10000</v>
      </c>
      <c r="D10" s="4">
        <v>13000</v>
      </c>
      <c r="E10" s="1">
        <v>20</v>
      </c>
      <c r="F10" s="1">
        <v>6.28</v>
      </c>
      <c r="G10" s="1">
        <f t="shared" si="0"/>
        <v>125.60000000000001</v>
      </c>
      <c r="H10" s="1"/>
      <c r="I10" s="3"/>
    </row>
    <row r="11" spans="1:9" ht="43.5" customHeight="1" x14ac:dyDescent="0.25">
      <c r="A11" s="1" t="s">
        <v>15</v>
      </c>
      <c r="B11" s="7">
        <v>60</v>
      </c>
      <c r="C11" s="4">
        <v>15000</v>
      </c>
      <c r="D11" s="4">
        <v>19500</v>
      </c>
      <c r="E11" s="1">
        <v>30</v>
      </c>
      <c r="F11" s="1">
        <v>6.28</v>
      </c>
      <c r="G11" s="1">
        <f t="shared" si="0"/>
        <v>188.4</v>
      </c>
      <c r="H11" s="1"/>
      <c r="I11" s="3"/>
    </row>
    <row r="12" spans="1:9" ht="43.5" customHeight="1" x14ac:dyDescent="0.25">
      <c r="A12" s="2" t="s">
        <v>16</v>
      </c>
      <c r="B12" s="2">
        <f>SUM(B2:B11)</f>
        <v>190</v>
      </c>
      <c r="C12" s="5">
        <v>82000</v>
      </c>
      <c r="D12" s="5">
        <v>106000</v>
      </c>
      <c r="E12" s="2">
        <v>140</v>
      </c>
      <c r="F12" s="3"/>
      <c r="G12" s="2">
        <f>SUM(G3:G11)</f>
        <v>1004.8000000000001</v>
      </c>
      <c r="H12" s="2"/>
      <c r="I12" s="6"/>
    </row>
    <row r="16" spans="1:9" ht="43.5" customHeight="1" x14ac:dyDescent="0.25">
      <c r="A16" t="s">
        <v>51</v>
      </c>
    </row>
    <row r="17" spans="1:1" ht="43.5" customHeight="1" x14ac:dyDescent="0.25">
      <c r="A17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5F8C-E7E0-4123-A2F4-06768FB53585}">
  <dimension ref="A1:J13"/>
  <sheetViews>
    <sheetView workbookViewId="0">
      <selection activeCell="D13" sqref="D13"/>
    </sheetView>
  </sheetViews>
  <sheetFormatPr defaultRowHeight="15" x14ac:dyDescent="0.25"/>
  <cols>
    <col min="1" max="1" width="40" customWidth="1"/>
    <col min="2" max="2" width="23.5703125" customWidth="1"/>
    <col min="3" max="3" width="20.7109375" customWidth="1"/>
    <col min="4" max="4" width="19.5703125" customWidth="1"/>
    <col min="5" max="5" width="22.42578125" customWidth="1"/>
    <col min="6" max="6" width="27" customWidth="1"/>
    <col min="7" max="7" width="22.85546875" customWidth="1"/>
    <col min="8" max="8" width="24.28515625" customWidth="1"/>
    <col min="9" max="9" width="24.42578125" customWidth="1"/>
    <col min="10" max="10" width="13.7109375" customWidth="1"/>
  </cols>
  <sheetData>
    <row r="1" spans="1:10" ht="45.75" customHeigh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ht="25.5" hidden="1" customHeight="1" x14ac:dyDescent="0.25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</row>
    <row r="3" spans="1:10" ht="27.75" hidden="1" customHeight="1" x14ac:dyDescent="0.25">
      <c r="A3" s="1" t="s">
        <v>28</v>
      </c>
      <c r="B3" s="1">
        <v>0.15</v>
      </c>
      <c r="C3" s="1">
        <v>780</v>
      </c>
      <c r="D3" s="1">
        <v>117</v>
      </c>
      <c r="E3" s="1">
        <v>0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</row>
    <row r="4" spans="1:10" ht="15.75" hidden="1" x14ac:dyDescent="0.25">
      <c r="A4" s="1" t="s">
        <v>30</v>
      </c>
      <c r="B4" s="1">
        <v>0.2</v>
      </c>
      <c r="C4" s="1">
        <v>780</v>
      </c>
      <c r="D4" s="1">
        <v>156</v>
      </c>
      <c r="E4" s="1">
        <v>0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</row>
    <row r="5" spans="1:10" ht="15.75" hidden="1" x14ac:dyDescent="0.25">
      <c r="A5" s="1" t="s">
        <v>31</v>
      </c>
      <c r="B5" s="1">
        <v>0.05</v>
      </c>
      <c r="C5" s="1">
        <v>780</v>
      </c>
      <c r="D5" s="1">
        <v>39</v>
      </c>
      <c r="E5" s="1">
        <v>0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</row>
    <row r="6" spans="1:10" ht="39" customHeight="1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</row>
    <row r="7" spans="1:10" ht="37.5" customHeight="1" x14ac:dyDescent="0.25">
      <c r="A7" s="1" t="s">
        <v>33</v>
      </c>
      <c r="B7" s="1">
        <v>0.1</v>
      </c>
      <c r="C7" s="1">
        <v>780</v>
      </c>
      <c r="D7" s="1">
        <v>78</v>
      </c>
      <c r="E7" s="1">
        <v>0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</row>
    <row r="8" spans="1:10" ht="22.5" customHeight="1" x14ac:dyDescent="0.25">
      <c r="A8" s="1" t="s">
        <v>34</v>
      </c>
      <c r="B8" s="1">
        <v>0.05</v>
      </c>
      <c r="C8" s="1">
        <v>780</v>
      </c>
      <c r="D8" s="1">
        <v>39</v>
      </c>
      <c r="E8" s="1">
        <v>0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</row>
    <row r="9" spans="1:10" ht="31.5" x14ac:dyDescent="0.25">
      <c r="A9" s="2" t="s">
        <v>35</v>
      </c>
      <c r="B9" s="3"/>
      <c r="C9" s="3"/>
      <c r="D9" s="3"/>
      <c r="E9" s="3"/>
      <c r="F9" s="3"/>
      <c r="G9" s="3"/>
      <c r="H9" s="3"/>
      <c r="I9" s="3"/>
      <c r="J9" s="3"/>
    </row>
    <row r="10" spans="1:10" ht="31.5" customHeight="1" x14ac:dyDescent="0.25">
      <c r="A10" s="1" t="s">
        <v>36</v>
      </c>
      <c r="B10" s="1">
        <v>0.05</v>
      </c>
      <c r="C10" s="1">
        <v>780</v>
      </c>
      <c r="D10" s="1">
        <v>39</v>
      </c>
      <c r="E10" s="1">
        <v>0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</row>
    <row r="11" spans="1:10" ht="39" customHeight="1" x14ac:dyDescent="0.25">
      <c r="A11" s="2" t="s">
        <v>37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37.5" customHeight="1" x14ac:dyDescent="0.25">
      <c r="A12" s="1" t="s">
        <v>38</v>
      </c>
      <c r="B12" s="1" t="s">
        <v>39</v>
      </c>
      <c r="C12" s="1">
        <v>780</v>
      </c>
      <c r="D12" s="1">
        <v>1.56</v>
      </c>
      <c r="E12" s="1">
        <v>0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</row>
    <row r="13" spans="1:10" ht="63" x14ac:dyDescent="0.25">
      <c r="A13" s="2" t="s">
        <v>40</v>
      </c>
      <c r="B13" s="2">
        <v>0.60199999999999998</v>
      </c>
      <c r="C13" s="3"/>
      <c r="D13" s="2">
        <v>469.56</v>
      </c>
      <c r="E13" s="2">
        <v>0</v>
      </c>
      <c r="F13" s="2" t="s">
        <v>29</v>
      </c>
      <c r="G13" s="2" t="s">
        <v>29</v>
      </c>
      <c r="H13" s="2" t="s">
        <v>29</v>
      </c>
      <c r="I13" s="2" t="s">
        <v>29</v>
      </c>
      <c r="J13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6DB1-B60D-423F-B115-CE82607BD241}">
  <dimension ref="A1:J14"/>
  <sheetViews>
    <sheetView tabSelected="1" topLeftCell="A7" workbookViewId="0">
      <selection activeCell="F1" sqref="E1:F14"/>
    </sheetView>
  </sheetViews>
  <sheetFormatPr defaultRowHeight="15" x14ac:dyDescent="0.25"/>
  <cols>
    <col min="1" max="1" width="40.42578125" customWidth="1"/>
    <col min="2" max="2" width="21.140625" customWidth="1"/>
    <col min="3" max="3" width="26.42578125" customWidth="1"/>
    <col min="4" max="4" width="26.140625" customWidth="1"/>
    <col min="5" max="5" width="16.5703125" customWidth="1"/>
    <col min="6" max="6" width="15.85546875" customWidth="1"/>
    <col min="7" max="7" width="10.42578125" customWidth="1"/>
    <col min="8" max="8" width="12" customWidth="1"/>
    <col min="9" max="9" width="9.85546875" customWidth="1"/>
    <col min="10" max="10" width="9.42578125" customWidth="1"/>
  </cols>
  <sheetData>
    <row r="1" spans="1:10" ht="62.25" customHeight="1" x14ac:dyDescent="0.25">
      <c r="A1" s="1" t="s">
        <v>17</v>
      </c>
      <c r="B1" s="1" t="s">
        <v>41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ht="21.75" customHeight="1" x14ac:dyDescent="0.25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</row>
    <row r="3" spans="1:10" ht="24.75" customHeight="1" x14ac:dyDescent="0.25">
      <c r="A3" s="1" t="s">
        <v>28</v>
      </c>
      <c r="B3" s="1">
        <v>0.02</v>
      </c>
      <c r="C3" s="1">
        <v>780</v>
      </c>
      <c r="D3" s="1">
        <v>15.6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</row>
    <row r="4" spans="1:10" ht="39.75" customHeight="1" x14ac:dyDescent="0.25">
      <c r="A4" s="1" t="s">
        <v>42</v>
      </c>
      <c r="B4" s="1">
        <v>0.03</v>
      </c>
      <c r="C4" s="1">
        <v>780</v>
      </c>
      <c r="D4" s="1">
        <v>23.4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</row>
    <row r="5" spans="1:10" ht="39.75" customHeight="1" x14ac:dyDescent="0.25">
      <c r="A5" s="1" t="s">
        <v>31</v>
      </c>
      <c r="B5" s="1">
        <v>0.01</v>
      </c>
      <c r="C5" s="1">
        <v>780</v>
      </c>
      <c r="D5" s="1">
        <v>7.8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</row>
    <row r="6" spans="1:10" ht="47.25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</row>
    <row r="7" spans="1:10" ht="35.25" customHeight="1" x14ac:dyDescent="0.25">
      <c r="A7" s="1" t="s">
        <v>43</v>
      </c>
      <c r="B7" s="1">
        <v>0.01</v>
      </c>
      <c r="C7" s="1">
        <v>780</v>
      </c>
      <c r="D7" s="1">
        <v>7.8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</row>
    <row r="8" spans="1:10" ht="33.75" customHeight="1" x14ac:dyDescent="0.25">
      <c r="A8" s="1" t="s">
        <v>44</v>
      </c>
      <c r="B8" s="1">
        <v>0.02</v>
      </c>
      <c r="C8" s="1">
        <v>780</v>
      </c>
      <c r="D8" s="1">
        <v>15.6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</row>
    <row r="9" spans="1:10" ht="31.5" x14ac:dyDescent="0.25">
      <c r="A9" s="2" t="s">
        <v>35</v>
      </c>
      <c r="B9" s="3"/>
      <c r="C9" s="3"/>
      <c r="D9" s="3"/>
      <c r="E9" s="3"/>
      <c r="F9" s="3"/>
      <c r="G9" s="3"/>
      <c r="H9" s="3"/>
      <c r="I9" s="3"/>
      <c r="J9" s="3"/>
    </row>
    <row r="10" spans="1:10" ht="40.5" customHeight="1" x14ac:dyDescent="0.25">
      <c r="A10" s="1" t="s">
        <v>45</v>
      </c>
      <c r="B10" s="1" t="s">
        <v>46</v>
      </c>
      <c r="C10" s="1">
        <v>780</v>
      </c>
      <c r="D10" s="1">
        <v>7.8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</row>
    <row r="11" spans="1:10" ht="36.75" customHeight="1" x14ac:dyDescent="0.25">
      <c r="A11" s="2" t="s">
        <v>47</v>
      </c>
      <c r="B11" s="1">
        <v>0.02</v>
      </c>
      <c r="C11" s="1" t="s">
        <v>29</v>
      </c>
      <c r="D11" s="1">
        <v>0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</row>
    <row r="12" spans="1:10" ht="28.5" customHeight="1" x14ac:dyDescent="0.25">
      <c r="A12" s="2" t="s">
        <v>37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41.25" customHeight="1" x14ac:dyDescent="0.25">
      <c r="A13" s="1" t="s">
        <v>48</v>
      </c>
      <c r="B13" s="1" t="s">
        <v>49</v>
      </c>
      <c r="C13" s="1">
        <v>780</v>
      </c>
      <c r="D13" s="1">
        <v>6.24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</row>
    <row r="14" spans="1:10" ht="24.75" customHeight="1" x14ac:dyDescent="0.25">
      <c r="A14" s="2" t="s">
        <v>40</v>
      </c>
      <c r="B14" s="2">
        <v>0.128</v>
      </c>
      <c r="C14" s="3"/>
      <c r="D14" s="2">
        <v>84.24</v>
      </c>
      <c r="E14" s="1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dix1k</dc:creator>
  <cp:lastModifiedBy>Дмитрий Власов</cp:lastModifiedBy>
  <dcterms:created xsi:type="dcterms:W3CDTF">2015-06-05T18:19:34Z</dcterms:created>
  <dcterms:modified xsi:type="dcterms:W3CDTF">2026-05-08T06:14:17Z</dcterms:modified>
</cp:coreProperties>
</file>