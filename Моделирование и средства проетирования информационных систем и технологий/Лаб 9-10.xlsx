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My\data-storage\Моделирование и средства проетирования информационных систем и технологий\"/>
    </mc:Choice>
  </mc:AlternateContent>
  <xr:revisionPtr revIDLastSave="0" documentId="13_ncr:1_{A8167BC8-29FF-49F9-8AF4-F3CDDE0FF738}" xr6:coauthVersionLast="47" xr6:coauthVersionMax="47" xr10:uidLastSave="{00000000-0000-0000-0000-000000000000}"/>
  <bookViews>
    <workbookView xWindow="-120" yWindow="360" windowWidth="29040" windowHeight="15960" xr2:uid="{00000000-000D-0000-FFFF-FFFF00000000}"/>
  </bookViews>
  <sheets>
    <sheet name="Лист1" sheetId="1" r:id="rId1"/>
    <sheet name="Лист2" sheetId="2" r:id="rId2"/>
    <sheet name="Лист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4" i="1" l="1"/>
  <c r="E14" i="1"/>
  <c r="D14" i="1"/>
  <c r="H14" i="1"/>
  <c r="H11" i="1"/>
  <c r="H10" i="1"/>
  <c r="H9" i="1"/>
  <c r="H8" i="1"/>
  <c r="H6" i="1"/>
  <c r="H5" i="1"/>
  <c r="H3" i="1"/>
  <c r="D11" i="1"/>
  <c r="E11" i="1" s="1"/>
  <c r="D10" i="1"/>
  <c r="D9" i="1"/>
  <c r="D8" i="1"/>
  <c r="D6" i="1"/>
  <c r="E6" i="1" s="1"/>
  <c r="D3" i="1"/>
  <c r="F14" i="1"/>
  <c r="C14" i="1"/>
  <c r="E3" i="1"/>
  <c r="E4" i="1"/>
  <c r="E5" i="1"/>
  <c r="E7" i="1"/>
  <c r="E8" i="1"/>
  <c r="E12" i="1"/>
  <c r="E13" i="1"/>
  <c r="E2" i="1"/>
  <c r="D13" i="1"/>
  <c r="D5" i="1"/>
  <c r="D12" i="1"/>
  <c r="D7" i="1"/>
  <c r="D2" i="1"/>
  <c r="D4" i="1"/>
  <c r="E9" i="1" l="1"/>
  <c r="E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dix1k</author>
  </authors>
  <commentList>
    <comment ref="C1" authorId="0" shapeId="0" xr:uid="{0586EDCE-229B-4C0E-BE7C-B9BE0DA113F2}">
      <text>
        <r>
          <rPr>
            <b/>
            <sz val="9"/>
            <color indexed="81"/>
            <rFont val="Tahoma"/>
            <charset val="1"/>
          </rPr>
          <t>dix1k:</t>
        </r>
        <r>
          <rPr>
            <sz val="9"/>
            <color indexed="81"/>
            <rFont val="Tahoma"/>
            <charset val="1"/>
          </rPr>
          <t xml:space="preserve">
от какой з/п</t>
        </r>
      </text>
    </comment>
  </commentList>
</comments>
</file>

<file path=xl/sharedStrings.xml><?xml version="1.0" encoding="utf-8"?>
<sst xmlns="http://schemas.openxmlformats.org/spreadsheetml/2006/main" count="166" uniqueCount="56">
  <si>
    <t>Исполнители и выполняемые стадии / работы</t>
  </si>
  <si>
    <t>Трудоемкость, час</t>
  </si>
  <si>
    <t>Ставка исполнителя, руб./час</t>
  </si>
  <si>
    <t>Машинное время, час</t>
  </si>
  <si>
    <t>Стоим. 1 часа маш. вр., руб.</t>
  </si>
  <si>
    <t>Коп (маш. вр.)</t>
  </si>
  <si>
    <t>Руководитель проекта</t>
  </si>
  <si>
    <t>4. Разработка модуля «Анкета заемщика и скоринг»</t>
  </si>
  <si>
    <t>5. Разработка интеграции с БКИ (кредитная история)</t>
  </si>
  <si>
    <t>6. Расчет ПДН и формирование графика платежей</t>
  </si>
  <si>
    <t>7. Тестирование и отладка</t>
  </si>
  <si>
    <t>Исполнители и подпроцессы</t>
  </si>
  <si>
    <t>Трудоемкость, час (То)</t>
  </si>
  <si>
    <t>Ставка с отчисл., руб.</t>
  </si>
  <si>
    <t>Сзп (с отчисл.)</t>
  </si>
  <si>
    <t>Сто</t>
  </si>
  <si>
    <t>Сни</t>
  </si>
  <si>
    <t>Сэл</t>
  </si>
  <si>
    <t>Срем</t>
  </si>
  <si>
    <t>Ссп</t>
  </si>
  <si>
    <t>Спр</t>
  </si>
  <si>
    <t>Кредитный эксперт</t>
  </si>
  <si>
    <t>- Прием заявки и документов</t>
  </si>
  <si>
    <t>—</t>
  </si>
  <si>
    <t>- Ввод данных в систему</t>
  </si>
  <si>
    <t>- Выдача кредита</t>
  </si>
  <si>
    <t>Андеррайтер</t>
  </si>
  <si>
    <t>- Проверка кредитной истории</t>
  </si>
  <si>
    <t>- Скоринг и расчет ПДН</t>
  </si>
  <si>
    <t>Юрист</t>
  </si>
  <si>
    <t>- Подготовка договора</t>
  </si>
  <si>
    <t>Обслуживающий персонал (ИТ)</t>
  </si>
  <si>
    <t>- Техподдержка (на 1 заявку)</t>
  </si>
  <si>
    <t>0,002</t>
  </si>
  <si>
    <t>ИТОГО по процессу</t>
  </si>
  <si>
    <t>Трудоемкость, час (Т1)</t>
  </si>
  <si>
    <t>- Ввод данных в систему (автозаполнение)</t>
  </si>
  <si>
    <t>- Проверка кредитной истории (авто)</t>
  </si>
  <si>
    <t>- Скоринг и расчет ПДН (авто)</t>
  </si>
  <si>
    <t>- Подготовка договора (шаблон + автоподстановка)</t>
  </si>
  <si>
    <t>0,01</t>
  </si>
  <si>
    <t>Программное обеспечение (автоматика)</t>
  </si>
  <si>
    <t>- Техподдержка ИС (на 1 заявку)</t>
  </si>
  <si>
    <t>0,008</t>
  </si>
  <si>
    <t>С отчислениями</t>
  </si>
  <si>
    <t>з/п?  Как высчитал стоимость часа??</t>
  </si>
  <si>
    <t>затраты на внедрение??</t>
  </si>
  <si>
    <t>Аналитик</t>
  </si>
  <si>
    <t>Программист</t>
  </si>
  <si>
    <t>Инженер</t>
  </si>
  <si>
    <t>8. Внедрение системы, настройка, обучение персонала</t>
  </si>
  <si>
    <t>2. Анализ кредитного процесса (документооборот, скоринг, проверки)</t>
  </si>
  <si>
    <t>3. Формализация требований к ИС (ТЗ, прототипы экранов)</t>
  </si>
  <si>
    <t>1. Управление проектом, согласование, постановка задач</t>
  </si>
  <si>
    <t>З/п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</si>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</sst>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₽&quot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204"/>
      <scheme val="minor"/>
    </font>
    <font>
      <sz val="12"/>
      <color rgb="FFFF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1" fillId="0" borderId="0" xfId="0" applyFont="1" applyAlignment="1">
      <alignment horizontal="left" vertical="center" wrapText="1" inden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 indent="1"/>
    </xf>
    <xf numFmtId="0" fontId="2" fillId="3" borderId="0" xfId="0" applyFont="1" applyFill="1" applyAlignment="1">
      <alignment horizontal="left" vertical="center" wrapText="1" indent="1"/>
    </xf>
    <xf numFmtId="0" fontId="2" fillId="4" borderId="0" xfId="0" applyFont="1" applyFill="1" applyAlignment="1">
      <alignment horizontal="left" vertical="center" wrapText="1" indent="1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horizontal="left" vertical="center" wrapText="1" indent="1"/>
    </xf>
    <xf numFmtId="0" fontId="2" fillId="0" borderId="1" xfId="0" applyFont="1" applyBorder="1" applyAlignment="1">
      <alignment horizontal="left" vertical="center" wrapText="1" indent="1"/>
    </xf>
    <xf numFmtId="0" fontId="2" fillId="4" borderId="1" xfId="0" applyFont="1" applyFill="1" applyBorder="1" applyAlignment="1">
      <alignment horizontal="left" vertical="center" wrapText="1" indent="1"/>
    </xf>
    <xf numFmtId="164" fontId="2" fillId="0" borderId="1" xfId="0" applyNumberFormat="1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3" fontId="3" fillId="0" borderId="1" xfId="0" applyNumberFormat="1" applyFont="1" applyBorder="1" applyAlignment="1">
      <alignment horizontal="left" vertical="center" wrapText="1" indent="1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164" fontId="2" fillId="0" borderId="0" xfId="0" applyNumberFormat="1" applyFont="1" applyBorder="1" applyAlignment="1">
      <alignment horizontal="left" vertical="center" wrapText="1" indent="1"/>
    </xf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left" vertical="center" wrapText="1" indent="1"/>
    </xf>
    <xf numFmtId="0" fontId="7" fillId="0" borderId="0" xfId="0" applyFont="1"/>
    <xf numFmtId="164" fontId="6" fillId="0" borderId="2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tabSelected="1" zoomScaleNormal="100" workbookViewId="0">
      <selection activeCell="I11" sqref="I11"/>
    </sheetView>
  </sheetViews>
  <sheetFormatPr defaultRowHeight="43.5" customHeight="1" x14ac:dyDescent="0.25"/>
  <cols>
    <col min="1" max="1" width="53" customWidth="1"/>
    <col min="2" max="2" width="23.28515625" style="8" customWidth="1"/>
    <col min="3" max="3" width="27.7109375" customWidth="1"/>
    <col min="4" max="4" width="21.85546875" customWidth="1"/>
    <col min="5" max="5" width="19" customWidth="1"/>
    <col min="6" max="6" width="24.140625" customWidth="1"/>
    <col min="7" max="7" width="18.42578125" customWidth="1"/>
    <col min="8" max="8" width="19.42578125" customWidth="1"/>
    <col min="9" max="9" width="21" customWidth="1"/>
    <col min="10" max="10" width="14.5703125" customWidth="1"/>
  </cols>
  <sheetData>
    <row r="1" spans="1:9" ht="43.5" customHeight="1" x14ac:dyDescent="0.25">
      <c r="A1" s="1" t="s">
        <v>0</v>
      </c>
      <c r="B1" s="19" t="s">
        <v>54</v>
      </c>
      <c r="C1" s="1" t="s">
        <v>1</v>
      </c>
      <c r="D1" s="1" t="s">
        <v>2</v>
      </c>
      <c r="E1" s="1" t="s">
        <v>44</v>
      </c>
      <c r="F1" s="1" t="s">
        <v>3</v>
      </c>
      <c r="G1" s="1" t="s">
        <v>4</v>
      </c>
      <c r="H1" s="1" t="s">
        <v>5</v>
      </c>
      <c r="I1" s="1"/>
    </row>
    <row r="2" spans="1:9" ht="43.5" customHeight="1" x14ac:dyDescent="0.25">
      <c r="A2" s="13" t="s">
        <v>6</v>
      </c>
      <c r="B2" s="20">
        <v>200000</v>
      </c>
      <c r="C2" s="12"/>
      <c r="D2" s="12">
        <f>B2/160</f>
        <v>1250</v>
      </c>
      <c r="E2" s="12">
        <f>D2*1.3</f>
        <v>1625</v>
      </c>
      <c r="F2" s="12"/>
      <c r="G2" s="12">
        <v>6.28</v>
      </c>
      <c r="H2" s="10"/>
      <c r="I2" s="3"/>
    </row>
    <row r="3" spans="1:9" ht="43.5" customHeight="1" x14ac:dyDescent="0.25">
      <c r="A3" s="1" t="s">
        <v>53</v>
      </c>
      <c r="B3" s="19"/>
      <c r="C3" s="5">
        <v>15</v>
      </c>
      <c r="D3" s="9">
        <f>D2*C3</f>
        <v>18750</v>
      </c>
      <c r="E3" s="17">
        <f t="shared" ref="E3:E13" si="0">D3*1.3</f>
        <v>24375</v>
      </c>
      <c r="F3" s="5">
        <v>15</v>
      </c>
      <c r="H3" s="9">
        <f>F3*$G$2</f>
        <v>94.2</v>
      </c>
      <c r="I3" s="3"/>
    </row>
    <row r="4" spans="1:9" ht="43.5" customHeight="1" x14ac:dyDescent="0.25">
      <c r="A4" s="13" t="s">
        <v>47</v>
      </c>
      <c r="B4" s="21">
        <v>100000</v>
      </c>
      <c r="C4" s="22"/>
      <c r="D4" s="12">
        <f>B4/160</f>
        <v>625</v>
      </c>
      <c r="E4" s="12">
        <f t="shared" si="0"/>
        <v>812.5</v>
      </c>
      <c r="F4" s="22"/>
      <c r="G4" s="10"/>
      <c r="H4" s="10"/>
      <c r="I4" s="3"/>
    </row>
    <row r="5" spans="1:9" ht="43.5" customHeight="1" x14ac:dyDescent="0.25">
      <c r="A5" s="1" t="s">
        <v>51</v>
      </c>
      <c r="B5" s="19"/>
      <c r="C5" s="5">
        <v>20</v>
      </c>
      <c r="D5" s="9">
        <f>D4*C5</f>
        <v>12500</v>
      </c>
      <c r="E5" s="17">
        <f t="shared" si="0"/>
        <v>16250</v>
      </c>
      <c r="F5" s="5">
        <v>20</v>
      </c>
      <c r="G5" s="1"/>
      <c r="H5" s="9">
        <f>F5*$G$2</f>
        <v>125.60000000000001</v>
      </c>
      <c r="I5" s="3"/>
    </row>
    <row r="6" spans="1:9" ht="43.5" customHeight="1" x14ac:dyDescent="0.25">
      <c r="A6" s="1" t="s">
        <v>52</v>
      </c>
      <c r="B6" s="19"/>
      <c r="C6" s="5">
        <v>20</v>
      </c>
      <c r="D6" s="9">
        <f>D4*C6</f>
        <v>12500</v>
      </c>
      <c r="E6" s="17">
        <f t="shared" si="0"/>
        <v>16250</v>
      </c>
      <c r="F6" s="5">
        <v>20</v>
      </c>
      <c r="G6" s="1"/>
      <c r="H6" s="9">
        <f>F6*$G$2</f>
        <v>125.60000000000001</v>
      </c>
      <c r="I6" s="3"/>
    </row>
    <row r="7" spans="1:9" ht="43.5" customHeight="1" x14ac:dyDescent="0.25">
      <c r="A7" s="13" t="s">
        <v>48</v>
      </c>
      <c r="B7" s="20">
        <v>180000</v>
      </c>
      <c r="C7" s="12"/>
      <c r="D7" s="12">
        <f>B7/160</f>
        <v>1125</v>
      </c>
      <c r="E7" s="12">
        <f t="shared" si="0"/>
        <v>1462.5</v>
      </c>
      <c r="F7" s="12"/>
      <c r="G7" s="10"/>
      <c r="H7" s="10"/>
      <c r="I7" s="3"/>
    </row>
    <row r="8" spans="1:9" ht="43.5" customHeight="1" x14ac:dyDescent="0.25">
      <c r="A8" s="1" t="s">
        <v>7</v>
      </c>
      <c r="B8" s="19"/>
      <c r="C8" s="6">
        <v>20</v>
      </c>
      <c r="D8" s="9">
        <f>D7*C8</f>
        <v>22500</v>
      </c>
      <c r="E8" s="17">
        <f t="shared" si="0"/>
        <v>29250</v>
      </c>
      <c r="F8" s="6">
        <v>20</v>
      </c>
      <c r="G8" s="1"/>
      <c r="H8" s="9">
        <f>F8*$G$2</f>
        <v>125.60000000000001</v>
      </c>
      <c r="I8" s="3"/>
    </row>
    <row r="9" spans="1:9" ht="43.5" customHeight="1" x14ac:dyDescent="0.25">
      <c r="A9" s="1" t="s">
        <v>8</v>
      </c>
      <c r="B9" s="19"/>
      <c r="C9" s="6">
        <v>15</v>
      </c>
      <c r="D9" s="9">
        <f>D7*C9</f>
        <v>16875</v>
      </c>
      <c r="E9" s="17">
        <f t="shared" si="0"/>
        <v>21937.5</v>
      </c>
      <c r="F9" s="6">
        <v>15</v>
      </c>
      <c r="G9" s="1"/>
      <c r="H9" s="9">
        <f>F9*$G$2</f>
        <v>94.2</v>
      </c>
      <c r="I9" s="3"/>
    </row>
    <row r="10" spans="1:9" ht="43.5" customHeight="1" x14ac:dyDescent="0.25">
      <c r="A10" s="1" t="s">
        <v>9</v>
      </c>
      <c r="B10" s="19"/>
      <c r="C10" s="6">
        <v>15</v>
      </c>
      <c r="D10" s="9">
        <f>D7*C10</f>
        <v>16875</v>
      </c>
      <c r="E10" s="17">
        <f t="shared" si="0"/>
        <v>21937.5</v>
      </c>
      <c r="F10" s="6">
        <v>15</v>
      </c>
      <c r="G10" s="1"/>
      <c r="H10" s="9">
        <f>F10*$G$2</f>
        <v>94.2</v>
      </c>
      <c r="I10" s="3"/>
    </row>
    <row r="11" spans="1:9" ht="43.5" customHeight="1" x14ac:dyDescent="0.25">
      <c r="A11" s="10" t="s">
        <v>10</v>
      </c>
      <c r="B11" s="23"/>
      <c r="C11" s="11">
        <v>30</v>
      </c>
      <c r="D11" s="12">
        <f>D7*C11</f>
        <v>33750</v>
      </c>
      <c r="E11" s="12">
        <f t="shared" si="0"/>
        <v>43875</v>
      </c>
      <c r="F11" s="11">
        <v>30</v>
      </c>
      <c r="G11" s="10"/>
      <c r="H11" s="9">
        <f>F11*$G$2</f>
        <v>188.4</v>
      </c>
      <c r="I11" s="3"/>
    </row>
    <row r="12" spans="1:9" ht="43.5" customHeight="1" x14ac:dyDescent="0.25">
      <c r="A12" s="2" t="s">
        <v>49</v>
      </c>
      <c r="B12" s="15">
        <v>120000</v>
      </c>
      <c r="C12" s="16"/>
      <c r="D12" s="9">
        <f>B12/160</f>
        <v>750</v>
      </c>
      <c r="E12" s="17">
        <f t="shared" si="0"/>
        <v>975</v>
      </c>
      <c r="F12" s="16"/>
      <c r="G12" s="18"/>
      <c r="H12" s="18"/>
      <c r="I12" s="4"/>
    </row>
    <row r="13" spans="1:9" ht="43.5" customHeight="1" x14ac:dyDescent="0.25">
      <c r="A13" s="1" t="s">
        <v>50</v>
      </c>
      <c r="B13" s="19"/>
      <c r="C13" s="7">
        <v>20</v>
      </c>
      <c r="D13" s="9">
        <f>D12*C13</f>
        <v>15000</v>
      </c>
      <c r="E13" s="17">
        <f t="shared" si="0"/>
        <v>19500</v>
      </c>
      <c r="F13" s="7">
        <v>20</v>
      </c>
      <c r="G13" s="18"/>
      <c r="H13" s="18"/>
    </row>
    <row r="14" spans="1:9" ht="43.5" customHeight="1" x14ac:dyDescent="0.25">
      <c r="A14" s="13" t="s">
        <v>55</v>
      </c>
      <c r="B14" s="23"/>
      <c r="C14" s="13">
        <f>SUM(C13,C8:C11,C5:C6,C3)</f>
        <v>155</v>
      </c>
      <c r="D14" s="14">
        <f>SUM(D13,D8:D11,D5:D6,D2:D3)</f>
        <v>150000</v>
      </c>
      <c r="E14" s="14">
        <f>SUM(E13,E11,E8:E11,E5:E6,E3)</f>
        <v>237250</v>
      </c>
      <c r="F14" s="13">
        <f>SUM(F3:F13)</f>
        <v>155</v>
      </c>
      <c r="G14" s="10"/>
      <c r="H14" s="24">
        <f>SUM(H3:H13)</f>
        <v>847.80000000000007</v>
      </c>
      <c r="I14" s="26">
        <f>SUM(H14,E14,D14)</f>
        <v>388097.8</v>
      </c>
    </row>
    <row r="15" spans="1:9" ht="43.5" customHeight="1" x14ac:dyDescent="0.25">
      <c r="A15" s="18"/>
      <c r="B15" s="19"/>
      <c r="C15" s="18"/>
      <c r="D15" s="18"/>
      <c r="E15" s="18"/>
      <c r="F15" s="18"/>
      <c r="G15" s="18"/>
      <c r="H15" s="18"/>
    </row>
    <row r="16" spans="1:9" ht="43.5" customHeight="1" x14ac:dyDescent="0.25">
      <c r="A16" s="25" t="s">
        <v>45</v>
      </c>
      <c r="B16" s="19"/>
      <c r="C16" s="18"/>
      <c r="D16" s="18"/>
      <c r="E16" s="18"/>
      <c r="F16" s="18"/>
      <c r="G16" s="18"/>
      <c r="H16" s="18"/>
    </row>
    <row r="17" spans="1:8" ht="43.5" customHeight="1" x14ac:dyDescent="0.25">
      <c r="A17" s="25" t="s">
        <v>46</v>
      </c>
      <c r="B17" s="19"/>
      <c r="C17" s="18"/>
      <c r="D17" s="18"/>
      <c r="E17" s="18"/>
      <c r="F17" s="18"/>
      <c r="G17" s="18"/>
      <c r="H17" s="18"/>
    </row>
  </sheetData>
  <pageMargins left="0.7" right="0.7" top="0.75" bottom="0.75" header="0.3" footer="0.3"/>
  <pageSetup paperSize="9" orientation="portrait" r:id="rId1"/>
  <ignoredErrors>
    <ignoredError sqref="D3:D4 D12 D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5F8C-E7E0-4123-A2F4-06768FB53585}">
  <dimension ref="A1:J13"/>
  <sheetViews>
    <sheetView workbookViewId="0">
      <selection activeCell="D13" sqref="D13"/>
    </sheetView>
  </sheetViews>
  <sheetFormatPr defaultRowHeight="15" x14ac:dyDescent="0.25"/>
  <cols>
    <col min="1" max="1" width="40" customWidth="1"/>
    <col min="2" max="2" width="23.5703125" customWidth="1"/>
    <col min="3" max="3" width="20.7109375" customWidth="1"/>
    <col min="4" max="4" width="19.5703125" customWidth="1"/>
    <col min="5" max="5" width="22.42578125" customWidth="1"/>
    <col min="6" max="6" width="27" customWidth="1"/>
    <col min="7" max="7" width="22.85546875" customWidth="1"/>
    <col min="8" max="8" width="24.28515625" customWidth="1"/>
    <col min="9" max="9" width="24.42578125" customWidth="1"/>
    <col min="10" max="10" width="13.7109375" customWidth="1"/>
  </cols>
  <sheetData>
    <row r="1" spans="1:10" ht="45.75" customHeight="1" x14ac:dyDescent="0.2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</row>
    <row r="2" spans="1:10" ht="25.5" hidden="1" customHeight="1" x14ac:dyDescent="0.25">
      <c r="A2" s="2" t="s">
        <v>21</v>
      </c>
      <c r="B2" s="3"/>
      <c r="C2" s="3"/>
      <c r="D2" s="3"/>
      <c r="E2" s="3"/>
      <c r="F2" s="3"/>
      <c r="G2" s="3"/>
      <c r="H2" s="3"/>
      <c r="I2" s="3"/>
      <c r="J2" s="3"/>
    </row>
    <row r="3" spans="1:10" ht="27.75" hidden="1" customHeight="1" x14ac:dyDescent="0.25">
      <c r="A3" s="1" t="s">
        <v>22</v>
      </c>
      <c r="B3" s="1">
        <v>0.15</v>
      </c>
      <c r="C3" s="1">
        <v>780</v>
      </c>
      <c r="D3" s="1">
        <v>117</v>
      </c>
      <c r="E3" s="1">
        <v>0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</row>
    <row r="4" spans="1:10" ht="15.75" hidden="1" x14ac:dyDescent="0.25">
      <c r="A4" s="1" t="s">
        <v>24</v>
      </c>
      <c r="B4" s="1">
        <v>0.2</v>
      </c>
      <c r="C4" s="1">
        <v>780</v>
      </c>
      <c r="D4" s="1">
        <v>156</v>
      </c>
      <c r="E4" s="1">
        <v>0</v>
      </c>
      <c r="F4" s="1" t="s">
        <v>23</v>
      </c>
      <c r="G4" s="1" t="s">
        <v>23</v>
      </c>
      <c r="H4" s="1" t="s">
        <v>23</v>
      </c>
      <c r="I4" s="1" t="s">
        <v>23</v>
      </c>
      <c r="J4" s="1" t="s">
        <v>23</v>
      </c>
    </row>
    <row r="5" spans="1:10" ht="15.75" hidden="1" x14ac:dyDescent="0.25">
      <c r="A5" s="1" t="s">
        <v>25</v>
      </c>
      <c r="B5" s="1">
        <v>0.05</v>
      </c>
      <c r="C5" s="1">
        <v>780</v>
      </c>
      <c r="D5" s="1">
        <v>39</v>
      </c>
      <c r="E5" s="1">
        <v>0</v>
      </c>
      <c r="F5" s="1" t="s">
        <v>23</v>
      </c>
      <c r="G5" s="1" t="s">
        <v>23</v>
      </c>
      <c r="H5" s="1" t="s">
        <v>23</v>
      </c>
      <c r="I5" s="1" t="s">
        <v>23</v>
      </c>
      <c r="J5" s="1" t="s">
        <v>23</v>
      </c>
    </row>
    <row r="6" spans="1:10" ht="39" customHeight="1" x14ac:dyDescent="0.25">
      <c r="A6" s="2" t="s">
        <v>26</v>
      </c>
      <c r="B6" s="3"/>
      <c r="C6" s="3"/>
      <c r="D6" s="3"/>
      <c r="E6" s="3"/>
      <c r="F6" s="3"/>
      <c r="G6" s="3"/>
      <c r="H6" s="3"/>
      <c r="I6" s="3"/>
      <c r="J6" s="3"/>
    </row>
    <row r="7" spans="1:10" ht="37.5" customHeight="1" x14ac:dyDescent="0.25">
      <c r="A7" s="1" t="s">
        <v>27</v>
      </c>
      <c r="B7" s="1">
        <v>0.1</v>
      </c>
      <c r="C7" s="1">
        <v>780</v>
      </c>
      <c r="D7" s="1">
        <v>78</v>
      </c>
      <c r="E7" s="1">
        <v>0</v>
      </c>
      <c r="F7" s="1" t="s">
        <v>23</v>
      </c>
      <c r="G7" s="1" t="s">
        <v>23</v>
      </c>
      <c r="H7" s="1" t="s">
        <v>23</v>
      </c>
      <c r="I7" s="1" t="s">
        <v>23</v>
      </c>
      <c r="J7" s="1" t="s">
        <v>23</v>
      </c>
    </row>
    <row r="8" spans="1:10" ht="22.5" customHeight="1" x14ac:dyDescent="0.25">
      <c r="A8" s="1" t="s">
        <v>28</v>
      </c>
      <c r="B8" s="1">
        <v>0.05</v>
      </c>
      <c r="C8" s="1">
        <v>780</v>
      </c>
      <c r="D8" s="1">
        <v>39</v>
      </c>
      <c r="E8" s="1">
        <v>0</v>
      </c>
      <c r="F8" s="1" t="s">
        <v>23</v>
      </c>
      <c r="G8" s="1" t="s">
        <v>23</v>
      </c>
      <c r="H8" s="1" t="s">
        <v>23</v>
      </c>
      <c r="I8" s="1" t="s">
        <v>23</v>
      </c>
      <c r="J8" s="1" t="s">
        <v>23</v>
      </c>
    </row>
    <row r="9" spans="1:10" ht="15.75" x14ac:dyDescent="0.25">
      <c r="A9" s="2" t="s">
        <v>29</v>
      </c>
      <c r="B9" s="3"/>
      <c r="C9" s="3"/>
      <c r="D9" s="3"/>
      <c r="E9" s="3"/>
      <c r="F9" s="3"/>
      <c r="G9" s="3"/>
      <c r="H9" s="3"/>
      <c r="I9" s="3"/>
      <c r="J9" s="3"/>
    </row>
    <row r="10" spans="1:10" ht="31.5" customHeight="1" x14ac:dyDescent="0.25">
      <c r="A10" s="1" t="s">
        <v>30</v>
      </c>
      <c r="B10" s="1">
        <v>0.05</v>
      </c>
      <c r="C10" s="1">
        <v>780</v>
      </c>
      <c r="D10" s="1">
        <v>39</v>
      </c>
      <c r="E10" s="1">
        <v>0</v>
      </c>
      <c r="F10" s="1" t="s">
        <v>23</v>
      </c>
      <c r="G10" s="1" t="s">
        <v>23</v>
      </c>
      <c r="H10" s="1" t="s">
        <v>23</v>
      </c>
      <c r="I10" s="1" t="s">
        <v>23</v>
      </c>
      <c r="J10" s="1" t="s">
        <v>23</v>
      </c>
    </row>
    <row r="11" spans="1:10" ht="39" customHeight="1" x14ac:dyDescent="0.25">
      <c r="A11" s="2" t="s">
        <v>31</v>
      </c>
      <c r="B11" s="3"/>
      <c r="C11" s="3"/>
      <c r="D11" s="3"/>
      <c r="E11" s="3"/>
      <c r="F11" s="3"/>
      <c r="G11" s="3"/>
      <c r="H11" s="3"/>
      <c r="I11" s="3"/>
      <c r="J11" s="3"/>
    </row>
    <row r="12" spans="1:10" ht="37.5" customHeight="1" x14ac:dyDescent="0.25">
      <c r="A12" s="1" t="s">
        <v>32</v>
      </c>
      <c r="B12" s="1" t="s">
        <v>33</v>
      </c>
      <c r="C12" s="1">
        <v>780</v>
      </c>
      <c r="D12" s="1">
        <v>1.56</v>
      </c>
      <c r="E12" s="1">
        <v>0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</row>
    <row r="13" spans="1:10" ht="15.75" x14ac:dyDescent="0.25">
      <c r="A13" s="2" t="s">
        <v>34</v>
      </c>
      <c r="B13" s="2">
        <v>0.60199999999999998</v>
      </c>
      <c r="C13" s="3"/>
      <c r="D13" s="2">
        <v>469.56</v>
      </c>
      <c r="E13" s="2">
        <v>0</v>
      </c>
      <c r="F13" s="2" t="s">
        <v>23</v>
      </c>
      <c r="G13" s="2" t="s">
        <v>23</v>
      </c>
      <c r="H13" s="2" t="s">
        <v>23</v>
      </c>
      <c r="I13" s="2" t="s">
        <v>23</v>
      </c>
      <c r="J13" s="2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86DB1-B60D-423F-B115-CE82607BD241}">
  <dimension ref="A1:J14"/>
  <sheetViews>
    <sheetView workbookViewId="0">
      <selection activeCell="A6" sqref="A6"/>
    </sheetView>
  </sheetViews>
  <sheetFormatPr defaultRowHeight="15" x14ac:dyDescent="0.25"/>
  <cols>
    <col min="1" max="1" width="40.42578125" customWidth="1"/>
    <col min="2" max="2" width="21.140625" customWidth="1"/>
    <col min="3" max="3" width="26.42578125" customWidth="1"/>
    <col min="4" max="4" width="26.140625" customWidth="1"/>
    <col min="5" max="5" width="16.5703125" customWidth="1"/>
    <col min="6" max="6" width="15.85546875" customWidth="1"/>
    <col min="7" max="7" width="10.42578125" customWidth="1"/>
    <col min="8" max="8" width="12" customWidth="1"/>
    <col min="9" max="9" width="9.85546875" customWidth="1"/>
    <col min="10" max="10" width="9.42578125" customWidth="1"/>
  </cols>
  <sheetData>
    <row r="1" spans="1:10" ht="62.25" customHeight="1" x14ac:dyDescent="0.25">
      <c r="A1" s="1" t="s">
        <v>11</v>
      </c>
      <c r="B1" s="1" t="s">
        <v>35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</row>
    <row r="2" spans="1:10" ht="21.75" customHeight="1" x14ac:dyDescent="0.25">
      <c r="A2" s="2" t="s">
        <v>47</v>
      </c>
      <c r="B2" s="3"/>
      <c r="C2" s="3"/>
      <c r="D2" s="3"/>
      <c r="E2" s="3"/>
      <c r="F2" s="3"/>
      <c r="G2" s="3"/>
      <c r="H2" s="3"/>
      <c r="I2" s="3"/>
      <c r="J2" s="3"/>
    </row>
    <row r="3" spans="1:10" ht="24.75" customHeight="1" x14ac:dyDescent="0.25">
      <c r="A3" s="1" t="s">
        <v>22</v>
      </c>
      <c r="B3" s="1">
        <v>0.02</v>
      </c>
      <c r="C3" s="1">
        <v>780</v>
      </c>
      <c r="D3" s="1">
        <v>15.6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</row>
    <row r="4" spans="1:10" ht="39.75" customHeight="1" x14ac:dyDescent="0.25">
      <c r="A4" s="1" t="s">
        <v>36</v>
      </c>
      <c r="B4" s="1">
        <v>0.03</v>
      </c>
      <c r="C4" s="1">
        <v>780</v>
      </c>
      <c r="D4" s="1">
        <v>23.4</v>
      </c>
      <c r="E4" s="1" t="s">
        <v>23</v>
      </c>
      <c r="F4" s="1" t="s">
        <v>23</v>
      </c>
      <c r="G4" s="1" t="s">
        <v>23</v>
      </c>
      <c r="H4" s="1" t="s">
        <v>23</v>
      </c>
      <c r="I4" s="1" t="s">
        <v>23</v>
      </c>
      <c r="J4" s="1" t="s">
        <v>23</v>
      </c>
    </row>
    <row r="5" spans="1:10" ht="39.75" customHeight="1" x14ac:dyDescent="0.25">
      <c r="A5" s="1" t="s">
        <v>25</v>
      </c>
      <c r="B5" s="1">
        <v>0.01</v>
      </c>
      <c r="C5" s="1">
        <v>780</v>
      </c>
      <c r="D5" s="1">
        <v>7.8</v>
      </c>
      <c r="E5" s="1" t="s">
        <v>23</v>
      </c>
      <c r="F5" s="1" t="s">
        <v>23</v>
      </c>
      <c r="G5" s="1" t="s">
        <v>23</v>
      </c>
      <c r="H5" s="1" t="s">
        <v>23</v>
      </c>
      <c r="I5" s="1" t="s">
        <v>23</v>
      </c>
      <c r="J5" s="1" t="s">
        <v>23</v>
      </c>
    </row>
    <row r="6" spans="1:10" ht="15.75" x14ac:dyDescent="0.25">
      <c r="A6" s="2" t="s">
        <v>26</v>
      </c>
      <c r="B6" s="3"/>
      <c r="C6" s="3"/>
      <c r="D6" s="3"/>
      <c r="E6" s="3"/>
      <c r="F6" s="3"/>
      <c r="G6" s="3"/>
      <c r="H6" s="3"/>
      <c r="I6" s="3"/>
      <c r="J6" s="3"/>
    </row>
    <row r="7" spans="1:10" ht="35.25" customHeight="1" x14ac:dyDescent="0.25">
      <c r="A7" s="1" t="s">
        <v>37</v>
      </c>
      <c r="B7" s="1">
        <v>0.01</v>
      </c>
      <c r="C7" s="1">
        <v>780</v>
      </c>
      <c r="D7" s="1">
        <v>7.8</v>
      </c>
      <c r="E7" s="1" t="s">
        <v>23</v>
      </c>
      <c r="F7" s="1" t="s">
        <v>23</v>
      </c>
      <c r="G7" s="1" t="s">
        <v>23</v>
      </c>
      <c r="H7" s="1" t="s">
        <v>23</v>
      </c>
      <c r="I7" s="1" t="s">
        <v>23</v>
      </c>
      <c r="J7" s="1" t="s">
        <v>23</v>
      </c>
    </row>
    <row r="8" spans="1:10" ht="33.75" customHeight="1" x14ac:dyDescent="0.25">
      <c r="A8" s="1" t="s">
        <v>38</v>
      </c>
      <c r="B8" s="1">
        <v>0.02</v>
      </c>
      <c r="C8" s="1">
        <v>780</v>
      </c>
      <c r="D8" s="1">
        <v>15.6</v>
      </c>
      <c r="E8" s="1" t="s">
        <v>23</v>
      </c>
      <c r="F8" s="1" t="s">
        <v>23</v>
      </c>
      <c r="G8" s="1" t="s">
        <v>23</v>
      </c>
      <c r="H8" s="1" t="s">
        <v>23</v>
      </c>
      <c r="I8" s="1" t="s">
        <v>23</v>
      </c>
      <c r="J8" s="1" t="s">
        <v>23</v>
      </c>
    </row>
    <row r="9" spans="1:10" ht="15.75" x14ac:dyDescent="0.25">
      <c r="A9" s="2" t="s">
        <v>29</v>
      </c>
      <c r="B9" s="3"/>
      <c r="C9" s="3"/>
      <c r="D9" s="3"/>
      <c r="E9" s="3"/>
      <c r="F9" s="3"/>
      <c r="G9" s="3"/>
      <c r="H9" s="3"/>
      <c r="I9" s="3"/>
      <c r="J9" s="3"/>
    </row>
    <row r="10" spans="1:10" ht="40.5" customHeight="1" x14ac:dyDescent="0.25">
      <c r="A10" s="1" t="s">
        <v>39</v>
      </c>
      <c r="B10" s="1" t="s">
        <v>40</v>
      </c>
      <c r="C10" s="1">
        <v>780</v>
      </c>
      <c r="D10" s="1">
        <v>7.8</v>
      </c>
      <c r="E10" s="1" t="s">
        <v>23</v>
      </c>
      <c r="F10" s="1" t="s">
        <v>23</v>
      </c>
      <c r="G10" s="1" t="s">
        <v>23</v>
      </c>
      <c r="H10" s="1" t="s">
        <v>23</v>
      </c>
      <c r="I10" s="1" t="s">
        <v>23</v>
      </c>
      <c r="J10" s="1" t="s">
        <v>23</v>
      </c>
    </row>
    <row r="11" spans="1:10" ht="36.75" customHeight="1" x14ac:dyDescent="0.25">
      <c r="A11" s="2" t="s">
        <v>41</v>
      </c>
      <c r="B11" s="1">
        <v>0.02</v>
      </c>
      <c r="C11" s="1" t="s">
        <v>23</v>
      </c>
      <c r="D11" s="1">
        <v>0</v>
      </c>
      <c r="E11" s="1" t="s">
        <v>23</v>
      </c>
      <c r="F11" s="1" t="s">
        <v>23</v>
      </c>
      <c r="G11" s="1" t="s">
        <v>23</v>
      </c>
      <c r="H11" s="1" t="s">
        <v>23</v>
      </c>
      <c r="I11" s="1" t="s">
        <v>23</v>
      </c>
      <c r="J11" s="1" t="s">
        <v>23</v>
      </c>
    </row>
    <row r="12" spans="1:10" ht="28.5" customHeight="1" x14ac:dyDescent="0.25">
      <c r="A12" s="2" t="s">
        <v>31</v>
      </c>
      <c r="B12" s="3"/>
      <c r="C12" s="3"/>
      <c r="D12" s="3"/>
      <c r="E12" s="3"/>
      <c r="F12" s="3"/>
      <c r="G12" s="3"/>
      <c r="H12" s="3"/>
      <c r="I12" s="3"/>
      <c r="J12" s="3"/>
    </row>
    <row r="13" spans="1:10" ht="41.25" customHeight="1" x14ac:dyDescent="0.25">
      <c r="A13" s="1" t="s">
        <v>42</v>
      </c>
      <c r="B13" s="1" t="s">
        <v>43</v>
      </c>
      <c r="C13" s="1">
        <v>780</v>
      </c>
      <c r="D13" s="1">
        <v>6.24</v>
      </c>
      <c r="E13" s="1" t="s">
        <v>23</v>
      </c>
      <c r="F13" s="1" t="s">
        <v>23</v>
      </c>
      <c r="G13" s="1" t="s">
        <v>23</v>
      </c>
      <c r="H13" s="1" t="s">
        <v>23</v>
      </c>
      <c r="I13" s="1" t="s">
        <v>23</v>
      </c>
      <c r="J13" s="1" t="s">
        <v>23</v>
      </c>
    </row>
    <row r="14" spans="1:10" ht="24.75" customHeight="1" x14ac:dyDescent="0.25">
      <c r="A14" s="2" t="s">
        <v>34</v>
      </c>
      <c r="B14" s="2">
        <v>0.128</v>
      </c>
      <c r="C14" s="3"/>
      <c r="D14" s="2">
        <v>84.24</v>
      </c>
      <c r="E14" s="1" t="s">
        <v>23</v>
      </c>
      <c r="F14" s="2" t="s">
        <v>23</v>
      </c>
      <c r="G14" s="2" t="s">
        <v>23</v>
      </c>
      <c r="H14" s="2" t="s">
        <v>23</v>
      </c>
      <c r="I14" s="2" t="s">
        <v>23</v>
      </c>
      <c r="J14" s="2" t="s">
        <v>23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dix1k</dc:creator>
  <cp:lastModifiedBy>Дмитрий Власов</cp:lastModifiedBy>
  <dcterms:created xsi:type="dcterms:W3CDTF">2015-06-05T18:19:34Z</dcterms:created>
  <dcterms:modified xsi:type="dcterms:W3CDTF">2026-05-13T08:02:08Z</dcterms:modified>
</cp:coreProperties>
</file>