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ix1k\Документы\GitHub\PGATU\Моделирование процессов и систем\"/>
    </mc:Choice>
  </mc:AlternateContent>
  <xr:revisionPtr revIDLastSave="0" documentId="13_ncr:1_{3E1A655E-5BB5-4AFD-8885-DBBD8D0B6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  <sheet name="Статистика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1" i="1" l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  <c r="H19" i="1" l="1"/>
  <c r="F14" i="2"/>
  <c r="E13" i="2"/>
  <c r="D14" i="2"/>
  <c r="E14" i="2"/>
  <c r="F13" i="2"/>
  <c r="D13" i="2"/>
  <c r="E11" i="2"/>
  <c r="F11" i="2"/>
  <c r="D11" i="2"/>
  <c r="D10" i="2"/>
  <c r="D395" i="1"/>
  <c r="E395" i="1" s="1"/>
  <c r="D407" i="1"/>
  <c r="E407" i="1" s="1"/>
  <c r="D419" i="1"/>
  <c r="E419" i="1" s="1"/>
  <c r="D443" i="1"/>
  <c r="E443" i="1" s="1"/>
  <c r="D455" i="1"/>
  <c r="E455" i="1" s="1"/>
  <c r="D467" i="1"/>
  <c r="E467" i="1" s="1"/>
  <c r="D491" i="1"/>
  <c r="E491" i="1" s="1"/>
  <c r="D5" i="1"/>
  <c r="E5" i="1" s="1"/>
  <c r="D21" i="1"/>
  <c r="E21" i="1" s="1"/>
  <c r="D33" i="1"/>
  <c r="E33" i="1" s="1"/>
  <c r="D45" i="1"/>
  <c r="E45" i="1" s="1"/>
  <c r="D53" i="1"/>
  <c r="E53" i="1" s="1"/>
  <c r="D65" i="1"/>
  <c r="E65" i="1" s="1"/>
  <c r="D77" i="1"/>
  <c r="E77" i="1" s="1"/>
  <c r="D93" i="1"/>
  <c r="E93" i="1" s="1"/>
  <c r="D105" i="1"/>
  <c r="E105" i="1" s="1"/>
  <c r="D113" i="1"/>
  <c r="E113" i="1" s="1"/>
  <c r="D125" i="1"/>
  <c r="E125" i="1" s="1"/>
  <c r="D133" i="1"/>
  <c r="E133" i="1" s="1"/>
  <c r="D145" i="1"/>
  <c r="E145" i="1" s="1"/>
  <c r="D153" i="1"/>
  <c r="E153" i="1" s="1"/>
  <c r="D161" i="1"/>
  <c r="E161" i="1" s="1"/>
  <c r="D169" i="1"/>
  <c r="E169" i="1" s="1"/>
  <c r="D181" i="1"/>
  <c r="E181" i="1" s="1"/>
  <c r="D189" i="1"/>
  <c r="E189" i="1" s="1"/>
  <c r="D197" i="1"/>
  <c r="E197" i="1" s="1"/>
  <c r="D209" i="1"/>
  <c r="E209" i="1" s="1"/>
  <c r="D217" i="1"/>
  <c r="E217" i="1" s="1"/>
  <c r="D225" i="1"/>
  <c r="E225" i="1" s="1"/>
  <c r="D237" i="1"/>
  <c r="E237" i="1" s="1"/>
  <c r="D245" i="1"/>
  <c r="E245" i="1" s="1"/>
  <c r="D253" i="1"/>
  <c r="E253" i="1" s="1"/>
  <c r="D265" i="1"/>
  <c r="E265" i="1" s="1"/>
  <c r="D273" i="1"/>
  <c r="E273" i="1" s="1"/>
  <c r="D281" i="1"/>
  <c r="E281" i="1" s="1"/>
  <c r="D289" i="1"/>
  <c r="E289" i="1" s="1"/>
  <c r="D301" i="1"/>
  <c r="E301" i="1" s="1"/>
  <c r="D309" i="1"/>
  <c r="E309" i="1" s="1"/>
  <c r="D317" i="1"/>
  <c r="E317" i="1" s="1"/>
  <c r="D325" i="1"/>
  <c r="E325" i="1" s="1"/>
  <c r="D333" i="1"/>
  <c r="E333" i="1" s="1"/>
  <c r="D337" i="1"/>
  <c r="E337" i="1" s="1"/>
  <c r="D341" i="1"/>
  <c r="E341" i="1" s="1"/>
  <c r="D345" i="1"/>
  <c r="E345" i="1" s="1"/>
  <c r="D353" i="1"/>
  <c r="E353" i="1" s="1"/>
  <c r="D357" i="1"/>
  <c r="E357" i="1" s="1"/>
  <c r="D361" i="1"/>
  <c r="E361" i="1" s="1"/>
  <c r="D365" i="1"/>
  <c r="E365" i="1" s="1"/>
  <c r="D369" i="1"/>
  <c r="E369" i="1" s="1"/>
  <c r="D373" i="1"/>
  <c r="E373" i="1" s="1"/>
  <c r="D377" i="1"/>
  <c r="E377" i="1" s="1"/>
  <c r="D381" i="1"/>
  <c r="E381" i="1" s="1"/>
  <c r="D385" i="1"/>
  <c r="E385" i="1" s="1"/>
  <c r="D389" i="1"/>
  <c r="E389" i="1" s="1"/>
  <c r="D393" i="1"/>
  <c r="E393" i="1" s="1"/>
  <c r="D397" i="1"/>
  <c r="E397" i="1" s="1"/>
  <c r="D401" i="1"/>
  <c r="E401" i="1" s="1"/>
  <c r="D405" i="1"/>
  <c r="E405" i="1" s="1"/>
  <c r="D409" i="1"/>
  <c r="E409" i="1" s="1"/>
  <c r="D413" i="1"/>
  <c r="E413" i="1" s="1"/>
  <c r="D417" i="1"/>
  <c r="E417" i="1" s="1"/>
  <c r="D421" i="1"/>
  <c r="E421" i="1" s="1"/>
  <c r="D425" i="1"/>
  <c r="E425" i="1" s="1"/>
  <c r="D429" i="1"/>
  <c r="E429" i="1" s="1"/>
  <c r="D433" i="1"/>
  <c r="E433" i="1" s="1"/>
  <c r="D437" i="1"/>
  <c r="E437" i="1" s="1"/>
  <c r="D441" i="1"/>
  <c r="E441" i="1" s="1"/>
  <c r="D445" i="1"/>
  <c r="E445" i="1" s="1"/>
  <c r="D449" i="1"/>
  <c r="E449" i="1" s="1"/>
  <c r="D453" i="1"/>
  <c r="E453" i="1" s="1"/>
  <c r="D457" i="1"/>
  <c r="E457" i="1" s="1"/>
  <c r="D461" i="1"/>
  <c r="E461" i="1" s="1"/>
  <c r="D465" i="1"/>
  <c r="E465" i="1" s="1"/>
  <c r="D469" i="1"/>
  <c r="E469" i="1" s="1"/>
  <c r="D473" i="1"/>
  <c r="E473" i="1" s="1"/>
  <c r="D477" i="1"/>
  <c r="E477" i="1" s="1"/>
  <c r="D481" i="1"/>
  <c r="E481" i="1" s="1"/>
  <c r="D485" i="1"/>
  <c r="E485" i="1" s="1"/>
  <c r="D489" i="1"/>
  <c r="E489" i="1" s="1"/>
  <c r="D493" i="1"/>
  <c r="E493" i="1" s="1"/>
  <c r="D497" i="1"/>
  <c r="E497" i="1" s="1"/>
  <c r="D501" i="1"/>
  <c r="E501" i="1" s="1"/>
  <c r="D9" i="1"/>
  <c r="E9" i="1" s="1"/>
  <c r="D17" i="1"/>
  <c r="E17" i="1" s="1"/>
  <c r="D29" i="1"/>
  <c r="E29" i="1" s="1"/>
  <c r="D41" i="1"/>
  <c r="E41" i="1" s="1"/>
  <c r="D57" i="1"/>
  <c r="E57" i="1" s="1"/>
  <c r="D69" i="1"/>
  <c r="E69" i="1" s="1"/>
  <c r="D81" i="1"/>
  <c r="E81" i="1" s="1"/>
  <c r="D89" i="1"/>
  <c r="E89" i="1" s="1"/>
  <c r="D101" i="1"/>
  <c r="E101" i="1" s="1"/>
  <c r="D117" i="1"/>
  <c r="E117" i="1" s="1"/>
  <c r="D129" i="1"/>
  <c r="E129" i="1" s="1"/>
  <c r="D137" i="1"/>
  <c r="E137" i="1" s="1"/>
  <c r="D141" i="1"/>
  <c r="E141" i="1" s="1"/>
  <c r="D149" i="1"/>
  <c r="E149" i="1" s="1"/>
  <c r="D157" i="1"/>
  <c r="E157" i="1" s="1"/>
  <c r="D165" i="1"/>
  <c r="E165" i="1" s="1"/>
  <c r="D173" i="1"/>
  <c r="E173" i="1" s="1"/>
  <c r="D177" i="1"/>
  <c r="E177" i="1" s="1"/>
  <c r="D185" i="1"/>
  <c r="E185" i="1" s="1"/>
  <c r="D193" i="1"/>
  <c r="E193" i="1" s="1"/>
  <c r="D201" i="1"/>
  <c r="E201" i="1" s="1"/>
  <c r="D205" i="1"/>
  <c r="E205" i="1" s="1"/>
  <c r="D213" i="1"/>
  <c r="E213" i="1" s="1"/>
  <c r="D221" i="1"/>
  <c r="E221" i="1" s="1"/>
  <c r="D229" i="1"/>
  <c r="E229" i="1" s="1"/>
  <c r="D233" i="1"/>
  <c r="E233" i="1" s="1"/>
  <c r="D241" i="1"/>
  <c r="E241" i="1" s="1"/>
  <c r="D249" i="1"/>
  <c r="E249" i="1" s="1"/>
  <c r="D257" i="1"/>
  <c r="E257" i="1" s="1"/>
  <c r="D261" i="1"/>
  <c r="E261" i="1" s="1"/>
  <c r="D269" i="1"/>
  <c r="E269" i="1" s="1"/>
  <c r="D277" i="1"/>
  <c r="E277" i="1" s="1"/>
  <c r="D285" i="1"/>
  <c r="E285" i="1" s="1"/>
  <c r="D293" i="1"/>
  <c r="E293" i="1" s="1"/>
  <c r="D297" i="1"/>
  <c r="E297" i="1" s="1"/>
  <c r="D305" i="1"/>
  <c r="E305" i="1" s="1"/>
  <c r="D313" i="1"/>
  <c r="E313" i="1" s="1"/>
  <c r="D321" i="1"/>
  <c r="E321" i="1" s="1"/>
  <c r="D329" i="1"/>
  <c r="E329" i="1" s="1"/>
  <c r="D349" i="1"/>
  <c r="E349" i="1" s="1"/>
  <c r="D6" i="1"/>
  <c r="E6" i="1" s="1"/>
  <c r="D10" i="1"/>
  <c r="E10" i="1" s="1"/>
  <c r="D14" i="1"/>
  <c r="E14" i="1" s="1"/>
  <c r="D18" i="1"/>
  <c r="E18" i="1" s="1"/>
  <c r="D22" i="1"/>
  <c r="E22" i="1" s="1"/>
  <c r="D26" i="1"/>
  <c r="E26" i="1" s="1"/>
  <c r="D30" i="1"/>
  <c r="E30" i="1" s="1"/>
  <c r="D34" i="1"/>
  <c r="E34" i="1" s="1"/>
  <c r="D38" i="1"/>
  <c r="E38" i="1" s="1"/>
  <c r="D42" i="1"/>
  <c r="E42" i="1" s="1"/>
  <c r="D46" i="1"/>
  <c r="E46" i="1" s="1"/>
  <c r="D50" i="1"/>
  <c r="E50" i="1" s="1"/>
  <c r="D54" i="1"/>
  <c r="E54" i="1" s="1"/>
  <c r="D58" i="1"/>
  <c r="E58" i="1" s="1"/>
  <c r="D62" i="1"/>
  <c r="E62" i="1" s="1"/>
  <c r="D66" i="1"/>
  <c r="E66" i="1" s="1"/>
  <c r="D70" i="1"/>
  <c r="E70" i="1" s="1"/>
  <c r="D74" i="1"/>
  <c r="E74" i="1" s="1"/>
  <c r="D78" i="1"/>
  <c r="E78" i="1" s="1"/>
  <c r="D82" i="1"/>
  <c r="E82" i="1" s="1"/>
  <c r="D86" i="1"/>
  <c r="E86" i="1" s="1"/>
  <c r="D90" i="1"/>
  <c r="E90" i="1" s="1"/>
  <c r="D94" i="1"/>
  <c r="E94" i="1" s="1"/>
  <c r="D98" i="1"/>
  <c r="E98" i="1" s="1"/>
  <c r="D102" i="1"/>
  <c r="E102" i="1" s="1"/>
  <c r="D106" i="1"/>
  <c r="E106" i="1" s="1"/>
  <c r="D110" i="1"/>
  <c r="E110" i="1" s="1"/>
  <c r="D114" i="1"/>
  <c r="E114" i="1" s="1"/>
  <c r="D118" i="1"/>
  <c r="E118" i="1" s="1"/>
  <c r="D122" i="1"/>
  <c r="E122" i="1" s="1"/>
  <c r="D126" i="1"/>
  <c r="E126" i="1" s="1"/>
  <c r="D130" i="1"/>
  <c r="E130" i="1" s="1"/>
  <c r="D134" i="1"/>
  <c r="E134" i="1" s="1"/>
  <c r="D138" i="1"/>
  <c r="E138" i="1" s="1"/>
  <c r="D142" i="1"/>
  <c r="E142" i="1" s="1"/>
  <c r="D146" i="1"/>
  <c r="E146" i="1" s="1"/>
  <c r="D150" i="1"/>
  <c r="E150" i="1" s="1"/>
  <c r="D154" i="1"/>
  <c r="E154" i="1" s="1"/>
  <c r="D158" i="1"/>
  <c r="E158" i="1" s="1"/>
  <c r="D162" i="1"/>
  <c r="E162" i="1" s="1"/>
  <c r="D166" i="1"/>
  <c r="E166" i="1" s="1"/>
  <c r="D170" i="1"/>
  <c r="E170" i="1" s="1"/>
  <c r="D174" i="1"/>
  <c r="E174" i="1" s="1"/>
  <c r="D178" i="1"/>
  <c r="E178" i="1" s="1"/>
  <c r="D182" i="1"/>
  <c r="E182" i="1" s="1"/>
  <c r="D186" i="1"/>
  <c r="E186" i="1" s="1"/>
  <c r="D190" i="1"/>
  <c r="E190" i="1" s="1"/>
  <c r="D194" i="1"/>
  <c r="E194" i="1" s="1"/>
  <c r="D198" i="1"/>
  <c r="E198" i="1" s="1"/>
  <c r="D202" i="1"/>
  <c r="E202" i="1" s="1"/>
  <c r="D206" i="1"/>
  <c r="E206" i="1" s="1"/>
  <c r="D210" i="1"/>
  <c r="E210" i="1" s="1"/>
  <c r="D214" i="1"/>
  <c r="E214" i="1" s="1"/>
  <c r="D218" i="1"/>
  <c r="E218" i="1" s="1"/>
  <c r="D222" i="1"/>
  <c r="E222" i="1" s="1"/>
  <c r="D226" i="1"/>
  <c r="E226" i="1" s="1"/>
  <c r="D230" i="1"/>
  <c r="E230" i="1" s="1"/>
  <c r="D234" i="1"/>
  <c r="E234" i="1" s="1"/>
  <c r="D238" i="1"/>
  <c r="E238" i="1" s="1"/>
  <c r="D242" i="1"/>
  <c r="E242" i="1" s="1"/>
  <c r="D246" i="1"/>
  <c r="E246" i="1" s="1"/>
  <c r="D250" i="1"/>
  <c r="E250" i="1" s="1"/>
  <c r="D254" i="1"/>
  <c r="E254" i="1" s="1"/>
  <c r="D258" i="1"/>
  <c r="E258" i="1" s="1"/>
  <c r="D262" i="1"/>
  <c r="E262" i="1" s="1"/>
  <c r="D266" i="1"/>
  <c r="E266" i="1" s="1"/>
  <c r="D270" i="1"/>
  <c r="E270" i="1" s="1"/>
  <c r="D274" i="1"/>
  <c r="E274" i="1" s="1"/>
  <c r="D278" i="1"/>
  <c r="E278" i="1" s="1"/>
  <c r="D282" i="1"/>
  <c r="E282" i="1" s="1"/>
  <c r="D286" i="1"/>
  <c r="E286" i="1" s="1"/>
  <c r="D290" i="1"/>
  <c r="E290" i="1" s="1"/>
  <c r="D294" i="1"/>
  <c r="E294" i="1" s="1"/>
  <c r="D298" i="1"/>
  <c r="E298" i="1" s="1"/>
  <c r="D302" i="1"/>
  <c r="E302" i="1" s="1"/>
  <c r="D306" i="1"/>
  <c r="E306" i="1" s="1"/>
  <c r="D310" i="1"/>
  <c r="E310" i="1" s="1"/>
  <c r="D314" i="1"/>
  <c r="E314" i="1" s="1"/>
  <c r="D318" i="1"/>
  <c r="E318" i="1" s="1"/>
  <c r="D322" i="1"/>
  <c r="E322" i="1" s="1"/>
  <c r="D326" i="1"/>
  <c r="E326" i="1" s="1"/>
  <c r="D330" i="1"/>
  <c r="E330" i="1" s="1"/>
  <c r="D334" i="1"/>
  <c r="E334" i="1" s="1"/>
  <c r="D338" i="1"/>
  <c r="E338" i="1" s="1"/>
  <c r="D342" i="1"/>
  <c r="E342" i="1" s="1"/>
  <c r="D346" i="1"/>
  <c r="E346" i="1" s="1"/>
  <c r="D350" i="1"/>
  <c r="E350" i="1" s="1"/>
  <c r="D354" i="1"/>
  <c r="E354" i="1" s="1"/>
  <c r="D358" i="1"/>
  <c r="E358" i="1" s="1"/>
  <c r="D362" i="1"/>
  <c r="E362" i="1" s="1"/>
  <c r="D366" i="1"/>
  <c r="E366" i="1" s="1"/>
  <c r="D370" i="1"/>
  <c r="E370" i="1" s="1"/>
  <c r="D374" i="1"/>
  <c r="E374" i="1" s="1"/>
  <c r="D378" i="1"/>
  <c r="E378" i="1" s="1"/>
  <c r="D382" i="1"/>
  <c r="E382" i="1" s="1"/>
  <c r="D386" i="1"/>
  <c r="E386" i="1" s="1"/>
  <c r="D390" i="1"/>
  <c r="E390" i="1" s="1"/>
  <c r="D394" i="1"/>
  <c r="E394" i="1" s="1"/>
  <c r="D398" i="1"/>
  <c r="E398" i="1" s="1"/>
  <c r="D402" i="1"/>
  <c r="E402" i="1" s="1"/>
  <c r="D406" i="1"/>
  <c r="E406" i="1" s="1"/>
  <c r="D410" i="1"/>
  <c r="E410" i="1" s="1"/>
  <c r="D414" i="1"/>
  <c r="E414" i="1" s="1"/>
  <c r="D418" i="1"/>
  <c r="E418" i="1" s="1"/>
  <c r="D422" i="1"/>
  <c r="E422" i="1" s="1"/>
  <c r="D426" i="1"/>
  <c r="E426" i="1" s="1"/>
  <c r="D430" i="1"/>
  <c r="E430" i="1" s="1"/>
  <c r="D434" i="1"/>
  <c r="E434" i="1" s="1"/>
  <c r="D438" i="1"/>
  <c r="E438" i="1" s="1"/>
  <c r="D442" i="1"/>
  <c r="E442" i="1" s="1"/>
  <c r="D446" i="1"/>
  <c r="E446" i="1" s="1"/>
  <c r="D450" i="1"/>
  <c r="E450" i="1" s="1"/>
  <c r="D454" i="1"/>
  <c r="E454" i="1" s="1"/>
  <c r="D458" i="1"/>
  <c r="E458" i="1" s="1"/>
  <c r="D462" i="1"/>
  <c r="E462" i="1" s="1"/>
  <c r="D466" i="1"/>
  <c r="E466" i="1" s="1"/>
  <c r="D470" i="1"/>
  <c r="E470" i="1" s="1"/>
  <c r="D474" i="1"/>
  <c r="E474" i="1" s="1"/>
  <c r="D478" i="1"/>
  <c r="E478" i="1" s="1"/>
  <c r="D482" i="1"/>
  <c r="E482" i="1" s="1"/>
  <c r="D486" i="1"/>
  <c r="E486" i="1" s="1"/>
  <c r="D490" i="1"/>
  <c r="E490" i="1" s="1"/>
  <c r="D494" i="1"/>
  <c r="E494" i="1" s="1"/>
  <c r="D498" i="1"/>
  <c r="E498" i="1" s="1"/>
  <c r="D4" i="1"/>
  <c r="E4" i="1" s="1"/>
  <c r="D8" i="1"/>
  <c r="E8" i="1" s="1"/>
  <c r="D12" i="1"/>
  <c r="E12" i="1" s="1"/>
  <c r="D16" i="1"/>
  <c r="E16" i="1" s="1"/>
  <c r="D20" i="1"/>
  <c r="E20" i="1" s="1"/>
  <c r="D24" i="1"/>
  <c r="E24" i="1" s="1"/>
  <c r="D28" i="1"/>
  <c r="E28" i="1" s="1"/>
  <c r="D32" i="1"/>
  <c r="E32" i="1" s="1"/>
  <c r="D36" i="1"/>
  <c r="E36" i="1" s="1"/>
  <c r="D40" i="1"/>
  <c r="E40" i="1" s="1"/>
  <c r="D44" i="1"/>
  <c r="E44" i="1" s="1"/>
  <c r="D48" i="1"/>
  <c r="E48" i="1" s="1"/>
  <c r="D52" i="1"/>
  <c r="E52" i="1" s="1"/>
  <c r="D56" i="1"/>
  <c r="E56" i="1" s="1"/>
  <c r="D60" i="1"/>
  <c r="E60" i="1" s="1"/>
  <c r="D64" i="1"/>
  <c r="E64" i="1" s="1"/>
  <c r="D68" i="1"/>
  <c r="E68" i="1" s="1"/>
  <c r="D72" i="1"/>
  <c r="E72" i="1" s="1"/>
  <c r="D76" i="1"/>
  <c r="E76" i="1" s="1"/>
  <c r="D80" i="1"/>
  <c r="E80" i="1" s="1"/>
  <c r="D84" i="1"/>
  <c r="E84" i="1" s="1"/>
  <c r="D88" i="1"/>
  <c r="E88" i="1" s="1"/>
  <c r="D92" i="1"/>
  <c r="E92" i="1" s="1"/>
  <c r="D96" i="1"/>
  <c r="E96" i="1" s="1"/>
  <c r="D100" i="1"/>
  <c r="E100" i="1" s="1"/>
  <c r="D104" i="1"/>
  <c r="E104" i="1" s="1"/>
  <c r="D108" i="1"/>
  <c r="E108" i="1" s="1"/>
  <c r="D112" i="1"/>
  <c r="E112" i="1" s="1"/>
  <c r="D116" i="1"/>
  <c r="E116" i="1" s="1"/>
  <c r="D335" i="1"/>
  <c r="E335" i="1" s="1"/>
  <c r="D431" i="1"/>
  <c r="E431" i="1" s="1"/>
  <c r="D479" i="1"/>
  <c r="E479" i="1" s="1"/>
  <c r="D120" i="1"/>
  <c r="E120" i="1" s="1"/>
  <c r="D124" i="1"/>
  <c r="E124" i="1" s="1"/>
  <c r="D128" i="1"/>
  <c r="E128" i="1" s="1"/>
  <c r="D132" i="1"/>
  <c r="E132" i="1" s="1"/>
  <c r="D136" i="1"/>
  <c r="E136" i="1" s="1"/>
  <c r="D140" i="1"/>
  <c r="E140" i="1" s="1"/>
  <c r="D144" i="1"/>
  <c r="E144" i="1" s="1"/>
  <c r="D148" i="1"/>
  <c r="E148" i="1" s="1"/>
  <c r="D152" i="1"/>
  <c r="E152" i="1" s="1"/>
  <c r="D156" i="1"/>
  <c r="E156" i="1" s="1"/>
  <c r="D160" i="1"/>
  <c r="E160" i="1" s="1"/>
  <c r="D164" i="1"/>
  <c r="E164" i="1" s="1"/>
  <c r="D168" i="1"/>
  <c r="E168" i="1" s="1"/>
  <c r="D172" i="1"/>
  <c r="E172" i="1" s="1"/>
  <c r="D176" i="1"/>
  <c r="E176" i="1" s="1"/>
  <c r="D180" i="1"/>
  <c r="E180" i="1" s="1"/>
  <c r="D184" i="1"/>
  <c r="E184" i="1" s="1"/>
  <c r="D188" i="1"/>
  <c r="E188" i="1" s="1"/>
  <c r="D192" i="1"/>
  <c r="E192" i="1" s="1"/>
  <c r="D196" i="1"/>
  <c r="E196" i="1" s="1"/>
  <c r="D200" i="1"/>
  <c r="E200" i="1" s="1"/>
  <c r="D204" i="1"/>
  <c r="E204" i="1" s="1"/>
  <c r="D208" i="1"/>
  <c r="E208" i="1" s="1"/>
  <c r="D212" i="1"/>
  <c r="E212" i="1" s="1"/>
  <c r="D216" i="1"/>
  <c r="E216" i="1" s="1"/>
  <c r="D220" i="1"/>
  <c r="E220" i="1" s="1"/>
  <c r="D224" i="1"/>
  <c r="E224" i="1" s="1"/>
  <c r="D228" i="1"/>
  <c r="E228" i="1" s="1"/>
  <c r="D232" i="1"/>
  <c r="E232" i="1" s="1"/>
  <c r="D236" i="1"/>
  <c r="E236" i="1" s="1"/>
  <c r="D240" i="1"/>
  <c r="E240" i="1" s="1"/>
  <c r="D244" i="1"/>
  <c r="E244" i="1" s="1"/>
  <c r="D248" i="1"/>
  <c r="E248" i="1" s="1"/>
  <c r="D252" i="1"/>
  <c r="E252" i="1" s="1"/>
  <c r="D256" i="1"/>
  <c r="E256" i="1" s="1"/>
  <c r="D260" i="1"/>
  <c r="E260" i="1" s="1"/>
  <c r="D264" i="1"/>
  <c r="E264" i="1" s="1"/>
  <c r="D268" i="1"/>
  <c r="E268" i="1" s="1"/>
  <c r="D272" i="1"/>
  <c r="E272" i="1" s="1"/>
  <c r="D276" i="1"/>
  <c r="E276" i="1" s="1"/>
  <c r="D280" i="1"/>
  <c r="E280" i="1" s="1"/>
  <c r="D284" i="1"/>
  <c r="E284" i="1" s="1"/>
  <c r="D288" i="1"/>
  <c r="E288" i="1" s="1"/>
  <c r="D292" i="1"/>
  <c r="E292" i="1" s="1"/>
  <c r="D296" i="1"/>
  <c r="E296" i="1" s="1"/>
  <c r="D300" i="1"/>
  <c r="E300" i="1" s="1"/>
  <c r="D304" i="1"/>
  <c r="E304" i="1" s="1"/>
  <c r="D308" i="1"/>
  <c r="E308" i="1" s="1"/>
  <c r="D312" i="1"/>
  <c r="E312" i="1" s="1"/>
  <c r="D316" i="1"/>
  <c r="E316" i="1" s="1"/>
  <c r="D320" i="1"/>
  <c r="E320" i="1" s="1"/>
  <c r="D324" i="1"/>
  <c r="E324" i="1" s="1"/>
  <c r="D328" i="1"/>
  <c r="E328" i="1" s="1"/>
  <c r="D332" i="1"/>
  <c r="E332" i="1" s="1"/>
  <c r="D336" i="1"/>
  <c r="E336" i="1" s="1"/>
  <c r="D340" i="1"/>
  <c r="E340" i="1" s="1"/>
  <c r="D344" i="1"/>
  <c r="E344" i="1" s="1"/>
  <c r="D348" i="1"/>
  <c r="E348" i="1" s="1"/>
  <c r="D352" i="1"/>
  <c r="E352" i="1" s="1"/>
  <c r="D356" i="1"/>
  <c r="E356" i="1" s="1"/>
  <c r="D360" i="1"/>
  <c r="E360" i="1" s="1"/>
  <c r="D364" i="1"/>
  <c r="E364" i="1" s="1"/>
  <c r="D368" i="1"/>
  <c r="E368" i="1" s="1"/>
  <c r="D372" i="1"/>
  <c r="E372" i="1" s="1"/>
  <c r="D376" i="1"/>
  <c r="E376" i="1" s="1"/>
  <c r="D380" i="1"/>
  <c r="E380" i="1" s="1"/>
  <c r="D384" i="1"/>
  <c r="E384" i="1" s="1"/>
  <c r="D388" i="1"/>
  <c r="E388" i="1" s="1"/>
  <c r="D392" i="1"/>
  <c r="E392" i="1" s="1"/>
  <c r="D400" i="1"/>
  <c r="E400" i="1" s="1"/>
  <c r="D404" i="1"/>
  <c r="E404" i="1" s="1"/>
  <c r="D412" i="1"/>
  <c r="E412" i="1" s="1"/>
  <c r="D416" i="1"/>
  <c r="E416" i="1" s="1"/>
  <c r="D424" i="1"/>
  <c r="E424" i="1" s="1"/>
  <c r="D428" i="1"/>
  <c r="E428" i="1" s="1"/>
  <c r="D436" i="1"/>
  <c r="E436" i="1" s="1"/>
  <c r="D440" i="1"/>
  <c r="E440" i="1" s="1"/>
  <c r="D448" i="1"/>
  <c r="E448" i="1" s="1"/>
  <c r="D452" i="1"/>
  <c r="E452" i="1" s="1"/>
  <c r="D460" i="1"/>
  <c r="E460" i="1" s="1"/>
  <c r="D464" i="1"/>
  <c r="E464" i="1" s="1"/>
  <c r="D472" i="1"/>
  <c r="E472" i="1" s="1"/>
  <c r="D484" i="1"/>
  <c r="E484" i="1" s="1"/>
  <c r="D496" i="1"/>
  <c r="E496" i="1" s="1"/>
  <c r="D3" i="1"/>
  <c r="E3" i="1" s="1"/>
  <c r="D7" i="1"/>
  <c r="E7" i="1" s="1"/>
  <c r="D11" i="1"/>
  <c r="E11" i="1" s="1"/>
  <c r="D15" i="1"/>
  <c r="E15" i="1" s="1"/>
  <c r="D19" i="1"/>
  <c r="E19" i="1" s="1"/>
  <c r="D23" i="1"/>
  <c r="E23" i="1" s="1"/>
  <c r="D27" i="1"/>
  <c r="E27" i="1" s="1"/>
  <c r="D31" i="1"/>
  <c r="E31" i="1" s="1"/>
  <c r="D35" i="1"/>
  <c r="E35" i="1" s="1"/>
  <c r="D39" i="1"/>
  <c r="E39" i="1" s="1"/>
  <c r="D43" i="1"/>
  <c r="E43" i="1" s="1"/>
  <c r="D47" i="1"/>
  <c r="E47" i="1" s="1"/>
  <c r="D51" i="1"/>
  <c r="E51" i="1" s="1"/>
  <c r="D55" i="1"/>
  <c r="E55" i="1" s="1"/>
  <c r="D59" i="1"/>
  <c r="E59" i="1" s="1"/>
  <c r="D63" i="1"/>
  <c r="E63" i="1" s="1"/>
  <c r="D67" i="1"/>
  <c r="E67" i="1" s="1"/>
  <c r="D71" i="1"/>
  <c r="E71" i="1" s="1"/>
  <c r="D75" i="1"/>
  <c r="E75" i="1" s="1"/>
  <c r="D79" i="1"/>
  <c r="E79" i="1" s="1"/>
  <c r="D83" i="1"/>
  <c r="E83" i="1" s="1"/>
  <c r="D87" i="1"/>
  <c r="E87" i="1" s="1"/>
  <c r="D91" i="1"/>
  <c r="E91" i="1" s="1"/>
  <c r="D95" i="1"/>
  <c r="E95" i="1" s="1"/>
  <c r="D99" i="1"/>
  <c r="E99" i="1" s="1"/>
  <c r="D103" i="1"/>
  <c r="E103" i="1" s="1"/>
  <c r="D107" i="1"/>
  <c r="E107" i="1" s="1"/>
  <c r="D111" i="1"/>
  <c r="E111" i="1" s="1"/>
  <c r="D115" i="1"/>
  <c r="E115" i="1" s="1"/>
  <c r="D119" i="1"/>
  <c r="E119" i="1" s="1"/>
  <c r="D123" i="1"/>
  <c r="E123" i="1" s="1"/>
  <c r="D127" i="1"/>
  <c r="E127" i="1" s="1"/>
  <c r="D131" i="1"/>
  <c r="E131" i="1" s="1"/>
  <c r="D135" i="1"/>
  <c r="E135" i="1" s="1"/>
  <c r="D347" i="1"/>
  <c r="E347" i="1" s="1"/>
  <c r="D359" i="1"/>
  <c r="E359" i="1" s="1"/>
  <c r="D371" i="1"/>
  <c r="E371" i="1" s="1"/>
  <c r="D383" i="1"/>
  <c r="E383" i="1" s="1"/>
  <c r="D396" i="1"/>
  <c r="E396" i="1" s="1"/>
  <c r="D408" i="1"/>
  <c r="E408" i="1" s="1"/>
  <c r="D420" i="1"/>
  <c r="E420" i="1" s="1"/>
  <c r="D432" i="1"/>
  <c r="E432" i="1" s="1"/>
  <c r="D444" i="1"/>
  <c r="E444" i="1" s="1"/>
  <c r="D456" i="1"/>
  <c r="E456" i="1" s="1"/>
  <c r="D468" i="1"/>
  <c r="E468" i="1" s="1"/>
  <c r="D476" i="1"/>
  <c r="E476" i="1" s="1"/>
  <c r="D480" i="1"/>
  <c r="E480" i="1" s="1"/>
  <c r="D488" i="1"/>
  <c r="E488" i="1" s="1"/>
  <c r="D492" i="1"/>
  <c r="E492" i="1" s="1"/>
  <c r="D500" i="1"/>
  <c r="E500" i="1" s="1"/>
  <c r="D25" i="1"/>
  <c r="E25" i="1" s="1"/>
  <c r="D37" i="1"/>
  <c r="E37" i="1" s="1"/>
  <c r="D49" i="1"/>
  <c r="E49" i="1" s="1"/>
  <c r="D61" i="1"/>
  <c r="E61" i="1" s="1"/>
  <c r="D73" i="1"/>
  <c r="E73" i="1" s="1"/>
  <c r="D85" i="1"/>
  <c r="E85" i="1" s="1"/>
  <c r="D97" i="1"/>
  <c r="E97" i="1" s="1"/>
  <c r="D109" i="1"/>
  <c r="E109" i="1" s="1"/>
  <c r="D121" i="1"/>
  <c r="E121" i="1" s="1"/>
  <c r="D13" i="1"/>
  <c r="E13" i="1" s="1"/>
  <c r="D139" i="1"/>
  <c r="E139" i="1" s="1"/>
  <c r="D143" i="1"/>
  <c r="E143" i="1" s="1"/>
  <c r="D147" i="1"/>
  <c r="E147" i="1" s="1"/>
  <c r="D151" i="1"/>
  <c r="E151" i="1" s="1"/>
  <c r="D155" i="1"/>
  <c r="E155" i="1" s="1"/>
  <c r="D159" i="1"/>
  <c r="E159" i="1" s="1"/>
  <c r="D163" i="1"/>
  <c r="E163" i="1" s="1"/>
  <c r="D167" i="1"/>
  <c r="E167" i="1" s="1"/>
  <c r="D171" i="1"/>
  <c r="E171" i="1" s="1"/>
  <c r="D175" i="1"/>
  <c r="E175" i="1" s="1"/>
  <c r="D179" i="1"/>
  <c r="E179" i="1" s="1"/>
  <c r="D183" i="1"/>
  <c r="E183" i="1" s="1"/>
  <c r="D187" i="1"/>
  <c r="E187" i="1" s="1"/>
  <c r="D191" i="1"/>
  <c r="E191" i="1" s="1"/>
  <c r="D195" i="1"/>
  <c r="E195" i="1" s="1"/>
  <c r="D199" i="1"/>
  <c r="E199" i="1" s="1"/>
  <c r="D203" i="1"/>
  <c r="E203" i="1" s="1"/>
  <c r="D207" i="1"/>
  <c r="E207" i="1" s="1"/>
  <c r="D211" i="1"/>
  <c r="E211" i="1" s="1"/>
  <c r="D215" i="1"/>
  <c r="E215" i="1" s="1"/>
  <c r="D219" i="1"/>
  <c r="E219" i="1" s="1"/>
  <c r="D223" i="1"/>
  <c r="E223" i="1" s="1"/>
  <c r="D227" i="1"/>
  <c r="E227" i="1" s="1"/>
  <c r="D231" i="1"/>
  <c r="E231" i="1" s="1"/>
  <c r="D235" i="1"/>
  <c r="E235" i="1" s="1"/>
  <c r="D239" i="1"/>
  <c r="E239" i="1" s="1"/>
  <c r="D243" i="1"/>
  <c r="E243" i="1" s="1"/>
  <c r="D247" i="1"/>
  <c r="E247" i="1" s="1"/>
  <c r="D251" i="1"/>
  <c r="E251" i="1" s="1"/>
  <c r="D255" i="1"/>
  <c r="E255" i="1" s="1"/>
  <c r="D259" i="1"/>
  <c r="E259" i="1" s="1"/>
  <c r="D263" i="1"/>
  <c r="E263" i="1" s="1"/>
  <c r="D267" i="1"/>
  <c r="E267" i="1" s="1"/>
  <c r="D271" i="1"/>
  <c r="E271" i="1" s="1"/>
  <c r="D275" i="1"/>
  <c r="E275" i="1" s="1"/>
  <c r="D279" i="1"/>
  <c r="E279" i="1" s="1"/>
  <c r="D283" i="1"/>
  <c r="E283" i="1" s="1"/>
  <c r="D287" i="1"/>
  <c r="E287" i="1" s="1"/>
  <c r="D291" i="1"/>
  <c r="E291" i="1" s="1"/>
  <c r="D295" i="1"/>
  <c r="E295" i="1" s="1"/>
  <c r="D299" i="1"/>
  <c r="E299" i="1" s="1"/>
  <c r="D303" i="1"/>
  <c r="E303" i="1" s="1"/>
  <c r="D307" i="1"/>
  <c r="E307" i="1" s="1"/>
  <c r="D311" i="1"/>
  <c r="E311" i="1" s="1"/>
  <c r="D315" i="1"/>
  <c r="E315" i="1" s="1"/>
  <c r="D319" i="1"/>
  <c r="E319" i="1" s="1"/>
  <c r="D323" i="1"/>
  <c r="E323" i="1" s="1"/>
  <c r="D327" i="1"/>
  <c r="E327" i="1" s="1"/>
  <c r="D331" i="1"/>
  <c r="E331" i="1" s="1"/>
  <c r="D339" i="1"/>
  <c r="E339" i="1" s="1"/>
  <c r="D343" i="1"/>
  <c r="E343" i="1" s="1"/>
  <c r="D351" i="1"/>
  <c r="E351" i="1" s="1"/>
  <c r="D355" i="1"/>
  <c r="E355" i="1" s="1"/>
  <c r="D363" i="1"/>
  <c r="E363" i="1" s="1"/>
  <c r="D367" i="1"/>
  <c r="E367" i="1" s="1"/>
  <c r="D375" i="1"/>
  <c r="E375" i="1" s="1"/>
  <c r="D379" i="1"/>
  <c r="E379" i="1" s="1"/>
  <c r="D387" i="1"/>
  <c r="E387" i="1" s="1"/>
  <c r="D391" i="1"/>
  <c r="E391" i="1" s="1"/>
  <c r="D399" i="1"/>
  <c r="E399" i="1" s="1"/>
  <c r="D403" i="1"/>
  <c r="E403" i="1" s="1"/>
  <c r="D411" i="1"/>
  <c r="E411" i="1" s="1"/>
  <c r="D415" i="1"/>
  <c r="E415" i="1" s="1"/>
  <c r="D423" i="1"/>
  <c r="E423" i="1" s="1"/>
  <c r="D427" i="1"/>
  <c r="E427" i="1" s="1"/>
  <c r="D435" i="1"/>
  <c r="E435" i="1" s="1"/>
  <c r="D439" i="1"/>
  <c r="E439" i="1" s="1"/>
  <c r="D447" i="1"/>
  <c r="E447" i="1" s="1"/>
  <c r="D451" i="1"/>
  <c r="E451" i="1" s="1"/>
  <c r="D459" i="1"/>
  <c r="E459" i="1" s="1"/>
  <c r="D463" i="1"/>
  <c r="E463" i="1" s="1"/>
  <c r="D471" i="1"/>
  <c r="E471" i="1" s="1"/>
  <c r="D475" i="1"/>
  <c r="E475" i="1" s="1"/>
  <c r="D483" i="1"/>
  <c r="E483" i="1" s="1"/>
  <c r="D487" i="1"/>
  <c r="E487" i="1" s="1"/>
  <c r="D495" i="1"/>
  <c r="E495" i="1" s="1"/>
  <c r="D499" i="1"/>
  <c r="E499" i="1" s="1"/>
  <c r="D2" i="1"/>
  <c r="E2" i="1" s="1"/>
  <c r="E10" i="2"/>
  <c r="F10" i="2"/>
  <c r="J19" i="1"/>
  <c r="I18" i="1"/>
  <c r="J18" i="1"/>
  <c r="H18" i="1"/>
  <c r="H17" i="1"/>
  <c r="I19" i="1"/>
  <c r="I17" i="1"/>
  <c r="J17" i="1"/>
  <c r="H20" i="1"/>
  <c r="I20" i="1"/>
  <c r="J20" i="1"/>
  <c r="H10" i="2" l="1"/>
  <c r="H17" i="2"/>
  <c r="H16" i="2"/>
  <c r="G14" i="2"/>
  <c r="G13" i="2"/>
  <c r="D12" i="2"/>
  <c r="F12" i="2"/>
  <c r="E12" i="2"/>
  <c r="G11" i="2"/>
  <c r="K17" i="1"/>
  <c r="G10" i="2"/>
  <c r="K18" i="1"/>
  <c r="K20" i="1"/>
  <c r="K19" i="1"/>
  <c r="H15" i="2" l="1"/>
  <c r="H13" i="2"/>
  <c r="H14" i="2"/>
  <c r="G12" i="2"/>
  <c r="L17" i="1"/>
  <c r="H11" i="2"/>
  <c r="L22" i="1"/>
  <c r="L18" i="1"/>
  <c r="L21" i="1"/>
  <c r="L20" i="1"/>
  <c r="L19" i="1"/>
  <c r="F20" i="2" l="1"/>
  <c r="H20" i="2" s="1"/>
  <c r="H12" i="2"/>
  <c r="G20" i="2" l="1"/>
</calcChain>
</file>

<file path=xl/sharedStrings.xml><?xml version="1.0" encoding="utf-8"?>
<sst xmlns="http://schemas.openxmlformats.org/spreadsheetml/2006/main" count="164" uniqueCount="65">
  <si>
    <t>Q (Объем туристов)</t>
  </si>
  <si>
    <t>P (Цена поездки)</t>
  </si>
  <si>
    <t>V (Переменные затраты)</t>
  </si>
  <si>
    <t>NCF (Чистый денежный поток)</t>
  </si>
  <si>
    <t>NPV (Чистая текущая стоимость)</t>
  </si>
  <si>
    <t>Метрика</t>
  </si>
  <si>
    <t>Q</t>
  </si>
  <si>
    <t>P</t>
  </si>
  <si>
    <t>V</t>
  </si>
  <si>
    <t>NCF</t>
  </si>
  <si>
    <t>NPV</t>
  </si>
  <si>
    <t>Среднее</t>
  </si>
  <si>
    <t>Минимум</t>
  </si>
  <si>
    <t>Максимум</t>
  </si>
  <si>
    <t>Станд. отклонение</t>
  </si>
  <si>
    <t>Кол-во убыточных NPV</t>
  </si>
  <si>
    <t>-</t>
  </si>
  <si>
    <t>Вероятность убыточности</t>
  </si>
  <si>
    <t>Показатели</t>
  </si>
  <si>
    <t>Сценарий</t>
  </si>
  <si>
    <t>минимум</t>
  </si>
  <si>
    <t>максимум</t>
  </si>
  <si>
    <t>общий объем туристов за период - Q</t>
  </si>
  <si>
    <t>общая стоимость туристической поездки - P</t>
  </si>
  <si>
    <t>Переменные затраты - V</t>
  </si>
  <si>
    <t>Постоянные затраты - F</t>
  </si>
  <si>
    <t>Амортизация - A</t>
  </si>
  <si>
    <t>Налог на прибыль - T</t>
  </si>
  <si>
    <t>Норма дисконта - R</t>
  </si>
  <si>
    <t>Срок проекта - n</t>
  </si>
  <si>
    <t>Начальные инвестиции - I0</t>
  </si>
  <si>
    <t>Перем. Расх(V)</t>
  </si>
  <si>
    <t>Кол-во(Q)</t>
  </si>
  <si>
    <t>Цена(P)</t>
  </si>
  <si>
    <t>Поступление(NCFt)</t>
  </si>
  <si>
    <t>(NVPt)</t>
  </si>
  <si>
    <t>Среднее знач.</t>
  </si>
  <si>
    <t>Станд_откл</t>
  </si>
  <si>
    <t>Коэф_вар</t>
  </si>
  <si>
    <t>Число случ. NPV&lt;0</t>
  </si>
  <si>
    <t>Сумма убытков</t>
  </si>
  <si>
    <t>Сумма доходов</t>
  </si>
  <si>
    <t>Вероятность p(NPV&lt;=X)</t>
  </si>
  <si>
    <t>Величина x</t>
  </si>
  <si>
    <t>Нормал. (x)</t>
  </si>
  <si>
    <t>p(NPV&lt;=x)</t>
  </si>
  <si>
    <t>Вероятность NPV&lt;0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</si>
  <si>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</si>
  <si>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</si>
  <si>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</si>
  <si>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</si>
  <si>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</si>
  <si>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</si>
  <si>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</si>
  <si>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</si>
  <si>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Сумма</t>
  </si>
  <si>
    <t>Счет</t>
  </si>
  <si>
    <t>NCFt</t>
  </si>
  <si>
    <t>NVPt</t>
  </si>
  <si>
    <t>n</t>
  </si>
  <si>
    <t>p</t>
  </si>
  <si>
    <t>дополнительные статистические характеристики инвестиционного проекта</t>
  </si>
  <si>
    <t>статистические характеристики проекта</t>
  </si>
  <si>
    <t>графическая интерпретация  результатов</t>
  </si>
  <si>
    <t>Таблица выборки результатов работы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</si>
</sst>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₽-419]_-;\-* #,##0.00\ [$₽-419]_-;_-* &quot;-&quot;??\ [$₽-419]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7" xfId="1" applyFont="1" applyFill="1" applyBorder="1" applyAlignment="1">
      <alignment horizontal="center"/>
    </xf>
    <xf numFmtId="0" fontId="3" fillId="3" borderId="7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/>
    <xf numFmtId="9" fontId="3" fillId="3" borderId="7" xfId="0" applyNumberFormat="1" applyFont="1" applyFill="1" applyBorder="1"/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3" borderId="20" xfId="1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1" xfId="1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7" xfId="1" applyFont="1" applyFill="1" applyBorder="1"/>
    <xf numFmtId="0" fontId="3" fillId="3" borderId="8" xfId="0" applyFont="1" applyFill="1" applyBorder="1"/>
    <xf numFmtId="0" fontId="3" fillId="3" borderId="1" xfId="1" applyFont="1" applyFill="1" applyBorder="1" applyAlignment="1">
      <alignment horizontal="center" vertical="center"/>
    </xf>
    <xf numFmtId="0" fontId="3" fillId="3" borderId="22" xfId="0" applyFont="1" applyFill="1" applyBorder="1"/>
    <xf numFmtId="0" fontId="4" fillId="3" borderId="23" xfId="0" applyFont="1" applyFill="1" applyBorder="1"/>
    <xf numFmtId="0" fontId="3" fillId="3" borderId="2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4" xfId="0" applyBorder="1"/>
    <xf numFmtId="9" fontId="0" fillId="0" borderId="24" xfId="0" applyNumberFormat="1" applyBorder="1"/>
    <xf numFmtId="0" fontId="0" fillId="0" borderId="25" xfId="0" applyBorder="1"/>
    <xf numFmtId="0" fontId="3" fillId="3" borderId="2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26" xfId="0" applyFont="1" applyFill="1" applyBorder="1"/>
    <xf numFmtId="0" fontId="3" fillId="3" borderId="27" xfId="0" applyFont="1" applyFill="1" applyBorder="1"/>
    <xf numFmtId="0" fontId="3" fillId="3" borderId="28" xfId="0" applyFont="1" applyFill="1" applyBorder="1"/>
    <xf numFmtId="0" fontId="3" fillId="3" borderId="29" xfId="0" applyFont="1" applyFill="1" applyBorder="1"/>
    <xf numFmtId="0" fontId="3" fillId="3" borderId="30" xfId="0" applyFont="1" applyFill="1" applyBorder="1"/>
    <xf numFmtId="0" fontId="0" fillId="0" borderId="15" xfId="0" applyBorder="1"/>
    <xf numFmtId="0" fontId="5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Continuous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3" fillId="3" borderId="6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layout>
        <c:manualLayout>
          <c:xMode val="edge"/>
          <c:yMode val="edge"/>
          <c:x val="0.3122360017497812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Данные!$A$1</c:f>
              <c:strCache>
                <c:ptCount val="1"/>
                <c:pt idx="0">
                  <c:v>Q (Объем туристов)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Данные!$A$2:$A$76</c:f>
              <c:numCache>
                <c:formatCode>General</c:formatCode>
                <c:ptCount val="75"/>
                <c:pt idx="0">
                  <c:v>288</c:v>
                </c:pt>
                <c:pt idx="1">
                  <c:v>227</c:v>
                </c:pt>
                <c:pt idx="2">
                  <c:v>249</c:v>
                </c:pt>
                <c:pt idx="3">
                  <c:v>284</c:v>
                </c:pt>
                <c:pt idx="4">
                  <c:v>174</c:v>
                </c:pt>
                <c:pt idx="5">
                  <c:v>192</c:v>
                </c:pt>
                <c:pt idx="6">
                  <c:v>254</c:v>
                </c:pt>
                <c:pt idx="7">
                  <c:v>164</c:v>
                </c:pt>
                <c:pt idx="8">
                  <c:v>258</c:v>
                </c:pt>
                <c:pt idx="9">
                  <c:v>150</c:v>
                </c:pt>
                <c:pt idx="10">
                  <c:v>267</c:v>
                </c:pt>
                <c:pt idx="11">
                  <c:v>232</c:v>
                </c:pt>
                <c:pt idx="12">
                  <c:v>298</c:v>
                </c:pt>
                <c:pt idx="13">
                  <c:v>176</c:v>
                </c:pt>
                <c:pt idx="14">
                  <c:v>268</c:v>
                </c:pt>
                <c:pt idx="15">
                  <c:v>251</c:v>
                </c:pt>
                <c:pt idx="16">
                  <c:v>202</c:v>
                </c:pt>
                <c:pt idx="17">
                  <c:v>259</c:v>
                </c:pt>
                <c:pt idx="18">
                  <c:v>239</c:v>
                </c:pt>
                <c:pt idx="19">
                  <c:v>154</c:v>
                </c:pt>
                <c:pt idx="20">
                  <c:v>169</c:v>
                </c:pt>
                <c:pt idx="21">
                  <c:v>245</c:v>
                </c:pt>
                <c:pt idx="22">
                  <c:v>156</c:v>
                </c:pt>
                <c:pt idx="23">
                  <c:v>274</c:v>
                </c:pt>
                <c:pt idx="24">
                  <c:v>248</c:v>
                </c:pt>
                <c:pt idx="25">
                  <c:v>262</c:v>
                </c:pt>
                <c:pt idx="26">
                  <c:v>217</c:v>
                </c:pt>
                <c:pt idx="27">
                  <c:v>293</c:v>
                </c:pt>
                <c:pt idx="28">
                  <c:v>291</c:v>
                </c:pt>
                <c:pt idx="29">
                  <c:v>266</c:v>
                </c:pt>
                <c:pt idx="30">
                  <c:v>199</c:v>
                </c:pt>
                <c:pt idx="31">
                  <c:v>151</c:v>
                </c:pt>
                <c:pt idx="32">
                  <c:v>182</c:v>
                </c:pt>
                <c:pt idx="33">
                  <c:v>222</c:v>
                </c:pt>
                <c:pt idx="34">
                  <c:v>296</c:v>
                </c:pt>
                <c:pt idx="35">
                  <c:v>183</c:v>
                </c:pt>
                <c:pt idx="36">
                  <c:v>245</c:v>
                </c:pt>
                <c:pt idx="37">
                  <c:v>249</c:v>
                </c:pt>
                <c:pt idx="38">
                  <c:v>169</c:v>
                </c:pt>
                <c:pt idx="39">
                  <c:v>260</c:v>
                </c:pt>
                <c:pt idx="40">
                  <c:v>237</c:v>
                </c:pt>
                <c:pt idx="41">
                  <c:v>277</c:v>
                </c:pt>
                <c:pt idx="42">
                  <c:v>189</c:v>
                </c:pt>
                <c:pt idx="43">
                  <c:v>251</c:v>
                </c:pt>
                <c:pt idx="44">
                  <c:v>227</c:v>
                </c:pt>
                <c:pt idx="45">
                  <c:v>191</c:v>
                </c:pt>
                <c:pt idx="46">
                  <c:v>250</c:v>
                </c:pt>
                <c:pt idx="47">
                  <c:v>295</c:v>
                </c:pt>
                <c:pt idx="48">
                  <c:v>282</c:v>
                </c:pt>
                <c:pt idx="49">
                  <c:v>223</c:v>
                </c:pt>
                <c:pt idx="50">
                  <c:v>257</c:v>
                </c:pt>
                <c:pt idx="51">
                  <c:v>255</c:v>
                </c:pt>
                <c:pt idx="52">
                  <c:v>221</c:v>
                </c:pt>
                <c:pt idx="53">
                  <c:v>282</c:v>
                </c:pt>
                <c:pt idx="54">
                  <c:v>167</c:v>
                </c:pt>
                <c:pt idx="55">
                  <c:v>241</c:v>
                </c:pt>
                <c:pt idx="56">
                  <c:v>282</c:v>
                </c:pt>
                <c:pt idx="57">
                  <c:v>291</c:v>
                </c:pt>
                <c:pt idx="58">
                  <c:v>273</c:v>
                </c:pt>
                <c:pt idx="59">
                  <c:v>150</c:v>
                </c:pt>
                <c:pt idx="60">
                  <c:v>163</c:v>
                </c:pt>
                <c:pt idx="61">
                  <c:v>225</c:v>
                </c:pt>
                <c:pt idx="62">
                  <c:v>261</c:v>
                </c:pt>
                <c:pt idx="63">
                  <c:v>289</c:v>
                </c:pt>
                <c:pt idx="64">
                  <c:v>203</c:v>
                </c:pt>
                <c:pt idx="65">
                  <c:v>286</c:v>
                </c:pt>
                <c:pt idx="66">
                  <c:v>246</c:v>
                </c:pt>
                <c:pt idx="67">
                  <c:v>278</c:v>
                </c:pt>
                <c:pt idx="68">
                  <c:v>214</c:v>
                </c:pt>
                <c:pt idx="69">
                  <c:v>179</c:v>
                </c:pt>
                <c:pt idx="70">
                  <c:v>253</c:v>
                </c:pt>
                <c:pt idx="71">
                  <c:v>208</c:v>
                </c:pt>
                <c:pt idx="72">
                  <c:v>158</c:v>
                </c:pt>
                <c:pt idx="73">
                  <c:v>226</c:v>
                </c:pt>
                <c:pt idx="74">
                  <c:v>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36-484A-A003-B0773110D4ED}"/>
            </c:ext>
          </c:extLst>
        </c:ser>
        <c:ser>
          <c:idx val="1"/>
          <c:order val="1"/>
          <c:tx>
            <c:strRef>
              <c:f>Данные!$B$1</c:f>
              <c:strCache>
                <c:ptCount val="1"/>
                <c:pt idx="0">
                  <c:v>P (Цена поездки)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Данные!$B$2:$B$76</c:f>
              <c:numCache>
                <c:formatCode>General</c:formatCode>
                <c:ptCount val="75"/>
                <c:pt idx="0">
                  <c:v>40</c:v>
                </c:pt>
                <c:pt idx="1">
                  <c:v>48</c:v>
                </c:pt>
                <c:pt idx="2">
                  <c:v>55</c:v>
                </c:pt>
                <c:pt idx="3">
                  <c:v>50</c:v>
                </c:pt>
                <c:pt idx="4">
                  <c:v>47</c:v>
                </c:pt>
                <c:pt idx="5">
                  <c:v>54</c:v>
                </c:pt>
                <c:pt idx="6">
                  <c:v>44</c:v>
                </c:pt>
                <c:pt idx="7">
                  <c:v>49</c:v>
                </c:pt>
                <c:pt idx="8">
                  <c:v>43</c:v>
                </c:pt>
                <c:pt idx="9">
                  <c:v>49</c:v>
                </c:pt>
                <c:pt idx="10">
                  <c:v>43</c:v>
                </c:pt>
                <c:pt idx="11">
                  <c:v>44</c:v>
                </c:pt>
                <c:pt idx="12">
                  <c:v>40</c:v>
                </c:pt>
                <c:pt idx="13">
                  <c:v>52</c:v>
                </c:pt>
                <c:pt idx="14">
                  <c:v>54</c:v>
                </c:pt>
                <c:pt idx="15">
                  <c:v>40</c:v>
                </c:pt>
                <c:pt idx="16">
                  <c:v>53</c:v>
                </c:pt>
                <c:pt idx="17">
                  <c:v>53</c:v>
                </c:pt>
                <c:pt idx="18">
                  <c:v>49</c:v>
                </c:pt>
                <c:pt idx="19">
                  <c:v>43</c:v>
                </c:pt>
                <c:pt idx="20">
                  <c:v>50</c:v>
                </c:pt>
                <c:pt idx="21">
                  <c:v>51</c:v>
                </c:pt>
                <c:pt idx="22">
                  <c:v>47</c:v>
                </c:pt>
                <c:pt idx="23">
                  <c:v>42</c:v>
                </c:pt>
                <c:pt idx="24">
                  <c:v>54</c:v>
                </c:pt>
                <c:pt idx="25">
                  <c:v>41</c:v>
                </c:pt>
                <c:pt idx="26">
                  <c:v>47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43</c:v>
                </c:pt>
                <c:pt idx="31">
                  <c:v>49</c:v>
                </c:pt>
                <c:pt idx="32">
                  <c:v>46</c:v>
                </c:pt>
                <c:pt idx="33">
                  <c:v>49</c:v>
                </c:pt>
                <c:pt idx="34">
                  <c:v>49</c:v>
                </c:pt>
                <c:pt idx="35">
                  <c:v>43</c:v>
                </c:pt>
                <c:pt idx="36">
                  <c:v>45</c:v>
                </c:pt>
                <c:pt idx="37">
                  <c:v>45</c:v>
                </c:pt>
                <c:pt idx="38">
                  <c:v>49</c:v>
                </c:pt>
                <c:pt idx="39">
                  <c:v>44</c:v>
                </c:pt>
                <c:pt idx="40">
                  <c:v>50</c:v>
                </c:pt>
                <c:pt idx="41">
                  <c:v>51</c:v>
                </c:pt>
                <c:pt idx="42">
                  <c:v>40</c:v>
                </c:pt>
                <c:pt idx="43">
                  <c:v>51</c:v>
                </c:pt>
                <c:pt idx="44">
                  <c:v>55</c:v>
                </c:pt>
                <c:pt idx="45">
                  <c:v>54</c:v>
                </c:pt>
                <c:pt idx="46">
                  <c:v>50</c:v>
                </c:pt>
                <c:pt idx="47">
                  <c:v>48</c:v>
                </c:pt>
                <c:pt idx="48">
                  <c:v>50</c:v>
                </c:pt>
                <c:pt idx="49">
                  <c:v>40</c:v>
                </c:pt>
                <c:pt idx="50">
                  <c:v>53</c:v>
                </c:pt>
                <c:pt idx="51">
                  <c:v>45</c:v>
                </c:pt>
                <c:pt idx="52">
                  <c:v>49</c:v>
                </c:pt>
                <c:pt idx="53">
                  <c:v>42</c:v>
                </c:pt>
                <c:pt idx="54">
                  <c:v>51</c:v>
                </c:pt>
                <c:pt idx="55">
                  <c:v>50</c:v>
                </c:pt>
                <c:pt idx="56">
                  <c:v>47</c:v>
                </c:pt>
                <c:pt idx="57">
                  <c:v>47</c:v>
                </c:pt>
                <c:pt idx="58">
                  <c:v>51</c:v>
                </c:pt>
                <c:pt idx="59">
                  <c:v>54</c:v>
                </c:pt>
                <c:pt idx="60">
                  <c:v>44</c:v>
                </c:pt>
                <c:pt idx="61">
                  <c:v>53</c:v>
                </c:pt>
                <c:pt idx="62">
                  <c:v>42</c:v>
                </c:pt>
                <c:pt idx="63">
                  <c:v>55</c:v>
                </c:pt>
                <c:pt idx="64">
                  <c:v>54</c:v>
                </c:pt>
                <c:pt idx="65">
                  <c:v>52</c:v>
                </c:pt>
                <c:pt idx="66">
                  <c:v>50</c:v>
                </c:pt>
                <c:pt idx="67">
                  <c:v>54</c:v>
                </c:pt>
                <c:pt idx="68">
                  <c:v>46</c:v>
                </c:pt>
                <c:pt idx="69">
                  <c:v>52</c:v>
                </c:pt>
                <c:pt idx="70">
                  <c:v>52</c:v>
                </c:pt>
                <c:pt idx="71">
                  <c:v>42</c:v>
                </c:pt>
                <c:pt idx="72">
                  <c:v>42</c:v>
                </c:pt>
                <c:pt idx="73">
                  <c:v>43</c:v>
                </c:pt>
                <c:pt idx="74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36-484A-A003-B0773110D4ED}"/>
            </c:ext>
          </c:extLst>
        </c:ser>
        <c:ser>
          <c:idx val="2"/>
          <c:order val="2"/>
          <c:tx>
            <c:strRef>
              <c:f>Данные!$C$1</c:f>
              <c:strCache>
                <c:ptCount val="1"/>
                <c:pt idx="0">
                  <c:v>V (Переменные затраты)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Данные!$C$2:$C$76</c:f>
              <c:numCache>
                <c:formatCode>General</c:formatCode>
                <c:ptCount val="75"/>
                <c:pt idx="0">
                  <c:v>35</c:v>
                </c:pt>
                <c:pt idx="1">
                  <c:v>28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25</c:v>
                </c:pt>
                <c:pt idx="11">
                  <c:v>30</c:v>
                </c:pt>
                <c:pt idx="12">
                  <c:v>33</c:v>
                </c:pt>
                <c:pt idx="13">
                  <c:v>31</c:v>
                </c:pt>
                <c:pt idx="14">
                  <c:v>33</c:v>
                </c:pt>
                <c:pt idx="15">
                  <c:v>32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32</c:v>
                </c:pt>
                <c:pt idx="20">
                  <c:v>33</c:v>
                </c:pt>
                <c:pt idx="21">
                  <c:v>32</c:v>
                </c:pt>
                <c:pt idx="22">
                  <c:v>29</c:v>
                </c:pt>
                <c:pt idx="23">
                  <c:v>26</c:v>
                </c:pt>
                <c:pt idx="24">
                  <c:v>35</c:v>
                </c:pt>
                <c:pt idx="25">
                  <c:v>28</c:v>
                </c:pt>
                <c:pt idx="26">
                  <c:v>25</c:v>
                </c:pt>
                <c:pt idx="27">
                  <c:v>34</c:v>
                </c:pt>
                <c:pt idx="28">
                  <c:v>26</c:v>
                </c:pt>
                <c:pt idx="29">
                  <c:v>31</c:v>
                </c:pt>
                <c:pt idx="30">
                  <c:v>30</c:v>
                </c:pt>
                <c:pt idx="31">
                  <c:v>25</c:v>
                </c:pt>
                <c:pt idx="32">
                  <c:v>30</c:v>
                </c:pt>
                <c:pt idx="33">
                  <c:v>26</c:v>
                </c:pt>
                <c:pt idx="34">
                  <c:v>30</c:v>
                </c:pt>
                <c:pt idx="35">
                  <c:v>33</c:v>
                </c:pt>
                <c:pt idx="36">
                  <c:v>28</c:v>
                </c:pt>
                <c:pt idx="37">
                  <c:v>25</c:v>
                </c:pt>
                <c:pt idx="38">
                  <c:v>31</c:v>
                </c:pt>
                <c:pt idx="39">
                  <c:v>34</c:v>
                </c:pt>
                <c:pt idx="40">
                  <c:v>25</c:v>
                </c:pt>
                <c:pt idx="41">
                  <c:v>29</c:v>
                </c:pt>
                <c:pt idx="42">
                  <c:v>29</c:v>
                </c:pt>
                <c:pt idx="43">
                  <c:v>26</c:v>
                </c:pt>
                <c:pt idx="44">
                  <c:v>25</c:v>
                </c:pt>
                <c:pt idx="45">
                  <c:v>31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26</c:v>
                </c:pt>
                <c:pt idx="50">
                  <c:v>26</c:v>
                </c:pt>
                <c:pt idx="51">
                  <c:v>34</c:v>
                </c:pt>
                <c:pt idx="52">
                  <c:v>28</c:v>
                </c:pt>
                <c:pt idx="53">
                  <c:v>30</c:v>
                </c:pt>
                <c:pt idx="54">
                  <c:v>31</c:v>
                </c:pt>
                <c:pt idx="55">
                  <c:v>32</c:v>
                </c:pt>
                <c:pt idx="56">
                  <c:v>31</c:v>
                </c:pt>
                <c:pt idx="57">
                  <c:v>32</c:v>
                </c:pt>
                <c:pt idx="58">
                  <c:v>31</c:v>
                </c:pt>
                <c:pt idx="59">
                  <c:v>27</c:v>
                </c:pt>
                <c:pt idx="60">
                  <c:v>26</c:v>
                </c:pt>
                <c:pt idx="61">
                  <c:v>28</c:v>
                </c:pt>
                <c:pt idx="62">
                  <c:v>33</c:v>
                </c:pt>
                <c:pt idx="63">
                  <c:v>35</c:v>
                </c:pt>
                <c:pt idx="64">
                  <c:v>25</c:v>
                </c:pt>
                <c:pt idx="65">
                  <c:v>29</c:v>
                </c:pt>
                <c:pt idx="66">
                  <c:v>29</c:v>
                </c:pt>
                <c:pt idx="67">
                  <c:v>25</c:v>
                </c:pt>
                <c:pt idx="68">
                  <c:v>33</c:v>
                </c:pt>
                <c:pt idx="69">
                  <c:v>32</c:v>
                </c:pt>
                <c:pt idx="70">
                  <c:v>29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36-484A-A003-B0773110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678975"/>
        <c:axId val="937682719"/>
      </c:scatterChart>
      <c:valAx>
        <c:axId val="93767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682719"/>
        <c:crosses val="autoZero"/>
        <c:crossBetween val="midCat"/>
      </c:valAx>
      <c:valAx>
        <c:axId val="9376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67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Данные!$D$2:$D$76</c:f>
              <c:numCache>
                <c:formatCode>General</c:formatCode>
                <c:ptCount val="75"/>
                <c:pt idx="0">
                  <c:v>738.4</c:v>
                </c:pt>
                <c:pt idx="1">
                  <c:v>3094.4</c:v>
                </c:pt>
                <c:pt idx="2">
                  <c:v>3428.8</c:v>
                </c:pt>
                <c:pt idx="3">
                  <c:v>3960.8</c:v>
                </c:pt>
                <c:pt idx="4">
                  <c:v>2553.2800000000002</c:v>
                </c:pt>
                <c:pt idx="5">
                  <c:v>3875.68</c:v>
                </c:pt>
                <c:pt idx="6">
                  <c:v>3118.7200000000003</c:v>
                </c:pt>
                <c:pt idx="7">
                  <c:v>2136.8000000000002</c:v>
                </c:pt>
                <c:pt idx="8">
                  <c:v>2193.04</c:v>
                </c:pt>
                <c:pt idx="9">
                  <c:v>1696</c:v>
                </c:pt>
                <c:pt idx="10">
                  <c:v>3296.56</c:v>
                </c:pt>
                <c:pt idx="11">
                  <c:v>2112.48</c:v>
                </c:pt>
                <c:pt idx="12">
                  <c:v>1229.3599999999999</c:v>
                </c:pt>
                <c:pt idx="13">
                  <c:v>2452.96</c:v>
                </c:pt>
                <c:pt idx="14">
                  <c:v>3921.28</c:v>
                </c:pt>
                <c:pt idx="15">
                  <c:v>1170.08</c:v>
                </c:pt>
                <c:pt idx="16">
                  <c:v>3942.56</c:v>
                </c:pt>
                <c:pt idx="17">
                  <c:v>5155.5200000000004</c:v>
                </c:pt>
                <c:pt idx="18">
                  <c:v>4003.36</c:v>
                </c:pt>
                <c:pt idx="19">
                  <c:v>931.44</c:v>
                </c:pt>
                <c:pt idx="20">
                  <c:v>1827.48</c:v>
                </c:pt>
                <c:pt idx="21">
                  <c:v>3181.8</c:v>
                </c:pt>
                <c:pt idx="22">
                  <c:v>1778.08</c:v>
                </c:pt>
                <c:pt idx="23">
                  <c:v>2975.84</c:v>
                </c:pt>
                <c:pt idx="24">
                  <c:v>3225.12</c:v>
                </c:pt>
                <c:pt idx="25">
                  <c:v>2232.56</c:v>
                </c:pt>
                <c:pt idx="26">
                  <c:v>3272.2400000000002</c:v>
                </c:pt>
                <c:pt idx="27">
                  <c:v>4097.6000000000004</c:v>
                </c:pt>
                <c:pt idx="28">
                  <c:v>5836.4800000000005</c:v>
                </c:pt>
                <c:pt idx="29">
                  <c:v>4293.68</c:v>
                </c:pt>
                <c:pt idx="30">
                  <c:v>1610.1200000000001</c:v>
                </c:pt>
                <c:pt idx="31">
                  <c:v>2398.2400000000002</c:v>
                </c:pt>
                <c:pt idx="32">
                  <c:v>1857.1200000000001</c:v>
                </c:pt>
                <c:pt idx="33">
                  <c:v>3524.56</c:v>
                </c:pt>
                <c:pt idx="34">
                  <c:v>3918.2400000000002</c:v>
                </c:pt>
                <c:pt idx="35">
                  <c:v>1034.8</c:v>
                </c:pt>
                <c:pt idx="36">
                  <c:v>2809.4</c:v>
                </c:pt>
                <c:pt idx="37">
                  <c:v>3428.8</c:v>
                </c:pt>
                <c:pt idx="38">
                  <c:v>1955.92</c:v>
                </c:pt>
                <c:pt idx="39">
                  <c:v>1620</c:v>
                </c:pt>
                <c:pt idx="40">
                  <c:v>4147</c:v>
                </c:pt>
                <c:pt idx="41">
                  <c:v>4275.4399999999996</c:v>
                </c:pt>
                <c:pt idx="42">
                  <c:v>1224.04</c:v>
                </c:pt>
                <c:pt idx="43">
                  <c:v>4413</c:v>
                </c:pt>
                <c:pt idx="44">
                  <c:v>4819.6000000000004</c:v>
                </c:pt>
                <c:pt idx="45">
                  <c:v>2982.68</c:v>
                </c:pt>
                <c:pt idx="46">
                  <c:v>2874</c:v>
                </c:pt>
                <c:pt idx="47">
                  <c:v>3007</c:v>
                </c:pt>
                <c:pt idx="48">
                  <c:v>3287.44</c:v>
                </c:pt>
                <c:pt idx="49">
                  <c:v>2016.72</c:v>
                </c:pt>
                <c:pt idx="50">
                  <c:v>4917.6400000000003</c:v>
                </c:pt>
                <c:pt idx="51">
                  <c:v>1775.8</c:v>
                </c:pt>
                <c:pt idx="52">
                  <c:v>3171.16</c:v>
                </c:pt>
                <c:pt idx="53">
                  <c:v>2215.84</c:v>
                </c:pt>
                <c:pt idx="54">
                  <c:v>2182.4</c:v>
                </c:pt>
                <c:pt idx="55">
                  <c:v>2940.88</c:v>
                </c:pt>
                <c:pt idx="56">
                  <c:v>3073.12</c:v>
                </c:pt>
                <c:pt idx="57">
                  <c:v>2961.4</c:v>
                </c:pt>
                <c:pt idx="58">
                  <c:v>3793.6</c:v>
                </c:pt>
                <c:pt idx="59">
                  <c:v>2722</c:v>
                </c:pt>
                <c:pt idx="60">
                  <c:v>1873.84</c:v>
                </c:pt>
                <c:pt idx="61">
                  <c:v>3919</c:v>
                </c:pt>
                <c:pt idx="62">
                  <c:v>1429.24</c:v>
                </c:pt>
                <c:pt idx="63">
                  <c:v>4036.8</c:v>
                </c:pt>
                <c:pt idx="64">
                  <c:v>4118.12</c:v>
                </c:pt>
                <c:pt idx="65">
                  <c:v>4643.28</c:v>
                </c:pt>
                <c:pt idx="66">
                  <c:v>3570.16</c:v>
                </c:pt>
                <c:pt idx="67">
                  <c:v>5771.12</c:v>
                </c:pt>
                <c:pt idx="68">
                  <c:v>1758.32</c:v>
                </c:pt>
                <c:pt idx="69">
                  <c:v>2364.8000000000002</c:v>
                </c:pt>
                <c:pt idx="70">
                  <c:v>4066.44</c:v>
                </c:pt>
                <c:pt idx="71">
                  <c:v>1382.88</c:v>
                </c:pt>
                <c:pt idx="72">
                  <c:v>844.8</c:v>
                </c:pt>
                <c:pt idx="73">
                  <c:v>1533.3600000000001</c:v>
                </c:pt>
                <c:pt idx="74">
                  <c:v>4794.5200000000004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F-467B-8639-F02142F984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Данные!$E$2:$E$76</c:f>
              <c:numCache>
                <c:formatCode>_-* #\ ##0.00\ [$₽-419]_-;\-* #\ ##0.00\ [$₽-419]_-;_-* "-"??\ [$₽-419]_-;_-@_-</c:formatCode>
                <c:ptCount val="75"/>
                <c:pt idx="0">
                  <c:v>1837.1859994660101</c:v>
                </c:pt>
                <c:pt idx="1">
                  <c:v>11661.388991064952</c:v>
                </c:pt>
                <c:pt idx="2">
                  <c:v>13055.791996324157</c:v>
                </c:pt>
                <c:pt idx="3">
                  <c:v>15274.160413781981</c:v>
                </c:pt>
                <c:pt idx="4">
                  <c:v>9404.9914007364223</c:v>
                </c:pt>
                <c:pt idx="5">
                  <c:v>14919.221466988727</c:v>
                </c:pt>
                <c:pt idx="6">
                  <c:v>11762.800118720168</c:v>
                </c:pt>
                <c:pt idx="7">
                  <c:v>7668.3258396408664</c:v>
                </c:pt>
                <c:pt idx="8">
                  <c:v>7902.8390723435496</c:v>
                </c:pt>
                <c:pt idx="9">
                  <c:v>5830.2491508900966</c:v>
                </c:pt>
                <c:pt idx="10">
                  <c:v>12504.368989698925</c:v>
                </c:pt>
                <c:pt idx="11">
                  <c:v>7566.9147119856507</c:v>
                </c:pt>
                <c:pt idx="12">
                  <c:v>3884.4231390056598</c:v>
                </c:pt>
                <c:pt idx="13">
                  <c:v>8986.6704991586594</c:v>
                </c:pt>
                <c:pt idx="14">
                  <c:v>15109.367331342257</c:v>
                </c:pt>
                <c:pt idx="15">
                  <c:v>3637.233515346074</c:v>
                </c:pt>
                <c:pt idx="16">
                  <c:v>15198.102068040571</c:v>
                </c:pt>
                <c:pt idx="17">
                  <c:v>20255.982059844417</c:v>
                </c:pt>
                <c:pt idx="18">
                  <c:v>15451.629887178609</c:v>
                </c:pt>
                <c:pt idx="19">
                  <c:v>2642.1368252292787</c:v>
                </c:pt>
                <c:pt idx="20">
                  <c:v>6378.5030597761015</c:v>
                </c:pt>
                <c:pt idx="21">
                  <c:v>12025.83523107588</c:v>
                </c:pt>
                <c:pt idx="22">
                  <c:v>6172.5117067264455</c:v>
                </c:pt>
                <c:pt idx="23">
                  <c:v>11167.009743745779</c:v>
                </c:pt>
                <c:pt idx="24">
                  <c:v>12206.473802211731</c:v>
                </c:pt>
                <c:pt idx="25">
                  <c:v>8067.632154783274</c:v>
                </c:pt>
                <c:pt idx="26">
                  <c:v>12402.957862043711</c:v>
                </c:pt>
                <c:pt idx="27">
                  <c:v>15844.598006842567</c:v>
                </c:pt>
                <c:pt idx="28">
                  <c:v>23095.493634190432</c:v>
                </c:pt>
                <c:pt idx="29">
                  <c:v>16662.225223562735</c:v>
                </c:pt>
                <c:pt idx="30">
                  <c:v>5472.1411063576197</c:v>
                </c:pt>
                <c:pt idx="31">
                  <c:v>8758.4954619344262</c:v>
                </c:pt>
                <c:pt idx="32">
                  <c:v>6502.0978716058944</c:v>
                </c:pt>
                <c:pt idx="33">
                  <c:v>13455.098311466565</c:v>
                </c:pt>
                <c:pt idx="34">
                  <c:v>15096.690940385357</c:v>
                </c:pt>
                <c:pt idx="35">
                  <c:v>3073.1341177639415</c:v>
                </c:pt>
                <c:pt idx="36">
                  <c:v>10472.977338855404</c:v>
                </c:pt>
                <c:pt idx="37">
                  <c:v>13055.791996324157</c:v>
                </c:pt>
                <c:pt idx="38">
                  <c:v>6914.0805777052055</c:v>
                </c:pt>
                <c:pt idx="39">
                  <c:v>5513.3393769675495</c:v>
                </c:pt>
                <c:pt idx="40">
                  <c:v>16050.589359892221</c:v>
                </c:pt>
                <c:pt idx="41">
                  <c:v>16586.166877821324</c:v>
                </c:pt>
                <c:pt idx="42">
                  <c:v>3862.2394548310822</c:v>
                </c:pt>
                <c:pt idx="43">
                  <c:v>17159.773568621134</c:v>
                </c:pt>
                <c:pt idx="44">
                  <c:v>18855.240859106758</c:v>
                </c:pt>
                <c:pt idx="45">
                  <c:v>11195.531623398807</c:v>
                </c:pt>
                <c:pt idx="46">
                  <c:v>10742.350646689565</c:v>
                </c:pt>
                <c:pt idx="47">
                  <c:v>11296.942751054024</c:v>
                </c:pt>
                <c:pt idx="48">
                  <c:v>12466.33981682822</c:v>
                </c:pt>
                <c:pt idx="49">
                  <c:v>7167.6083968432431</c:v>
                </c:pt>
                <c:pt idx="50">
                  <c:v>19264.054467466842</c:v>
                </c:pt>
                <c:pt idx="51">
                  <c:v>6163.0044135087692</c:v>
                </c:pt>
                <c:pt idx="52">
                  <c:v>11981.467862726722</c:v>
                </c:pt>
                <c:pt idx="53">
                  <c:v>7997.9120045203144</c:v>
                </c:pt>
                <c:pt idx="54">
                  <c:v>7858.4717039943935</c:v>
                </c:pt>
                <c:pt idx="55">
                  <c:v>11021.231247741409</c:v>
                </c:pt>
                <c:pt idx="56">
                  <c:v>11572.654254366638</c:v>
                </c:pt>
                <c:pt idx="57">
                  <c:v>11106.796886700497</c:v>
                </c:pt>
                <c:pt idx="58">
                  <c:v>14576.958911152378</c:v>
                </c:pt>
                <c:pt idx="59">
                  <c:v>10108.531098844473</c:v>
                </c:pt>
                <c:pt idx="60">
                  <c:v>6571.818021868854</c:v>
                </c:pt>
                <c:pt idx="61">
                  <c:v>15099.860038124581</c:v>
                </c:pt>
                <c:pt idx="62">
                  <c:v>4717.8958444219579</c:v>
                </c:pt>
                <c:pt idx="63">
                  <c:v>15591.070187704529</c:v>
                </c:pt>
                <c:pt idx="64">
                  <c:v>15930.163645801651</c:v>
                </c:pt>
                <c:pt idx="65">
                  <c:v>18120.010183606446</c:v>
                </c:pt>
                <c:pt idx="66">
                  <c:v>13645.244175820091</c:v>
                </c:pt>
                <c:pt idx="67">
                  <c:v>22822.951228617039</c:v>
                </c:pt>
                <c:pt idx="68">
                  <c:v>6090.1151655065833</c:v>
                </c:pt>
                <c:pt idx="69">
                  <c:v>8619.0551614085052</c:v>
                </c:pt>
                <c:pt idx="70">
                  <c:v>15714.664999534321</c:v>
                </c:pt>
                <c:pt idx="71">
                  <c:v>4524.5808823292055</c:v>
                </c:pt>
                <c:pt idx="72">
                  <c:v>2280.8596829575749</c:v>
                </c:pt>
                <c:pt idx="73">
                  <c:v>5152.0622346958471</c:v>
                </c:pt>
                <c:pt idx="74">
                  <c:v>18750.660633712319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DF-467B-8639-F02142F9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928800"/>
        <c:axId val="878929632"/>
      </c:scatterChart>
      <c:valAx>
        <c:axId val="878928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929632"/>
        <c:crosses val="autoZero"/>
        <c:crossBetween val="midCat"/>
      </c:valAx>
      <c:valAx>
        <c:axId val="8789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92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Статистика!$J$5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Статистика!$K$5:$P$5</c:f>
              <c:numCache>
                <c:formatCode>General</c:formatCode>
                <c:ptCount val="6"/>
                <c:pt idx="0">
                  <c:v>1.1950080213288831E-2</c:v>
                </c:pt>
                <c:pt idx="1">
                  <c:v>1.0834391358199746E-2</c:v>
                </c:pt>
                <c:pt idx="2">
                  <c:v>8.8008494217419568E-3</c:v>
                </c:pt>
                <c:pt idx="3">
                  <c:v>8.8816645166230005E-3</c:v>
                </c:pt>
                <c:pt idx="4">
                  <c:v>7.5925570982991004E-3</c:v>
                </c:pt>
                <c:pt idx="5">
                  <c:v>6.0217066409945725E-3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9-4399-BA44-B2F4C9338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860175"/>
        <c:axId val="1934861423"/>
      </c:lineChart>
      <c:catAx>
        <c:axId val="193486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4861423"/>
        <c:crosses val="autoZero"/>
        <c:auto val="1"/>
        <c:lblAlgn val="ctr"/>
        <c:lblOffset val="100"/>
        <c:noMultiLvlLbl val="0"/>
      </c:catAx>
      <c:valAx>
        <c:axId val="19348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486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Статистика!$J$2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Статистика!$K$2:$P$2</c:f>
              <c:numCache>
                <c:formatCode>General</c:formatCode>
                <c:ptCount val="6"/>
                <c:pt idx="0">
                  <c:v>1.2689484579033459E-2</c:v>
                </c:pt>
                <c:pt idx="1">
                  <c:v>1.2148485259035129E-2</c:v>
                </c:pt>
                <c:pt idx="2">
                  <c:v>1.03865143908204E-2</c:v>
                </c:pt>
                <c:pt idx="3">
                  <c:v>1.03887081099013E-2</c:v>
                </c:pt>
                <c:pt idx="4">
                  <c:v>9.6919896427983959E-3</c:v>
                </c:pt>
                <c:pt idx="5">
                  <c:v>8.7909614410754035E-3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8-47AA-B722-A7800400B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869327"/>
        <c:axId val="1934870159"/>
      </c:lineChart>
      <c:catAx>
        <c:axId val="1934869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4870159"/>
        <c:crosses val="autoZero"/>
        <c:auto val="1"/>
        <c:lblAlgn val="ctr"/>
        <c:lblOffset val="100"/>
        <c:noMultiLvlLbl val="0"/>
      </c:catAx>
      <c:valAx>
        <c:axId val="193487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486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Статистика!$J$8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Статистика!$K$8:$P$8</c:f>
              <c:numCache>
                <c:formatCode>General</c:formatCode>
                <c:ptCount val="6"/>
                <c:pt idx="0">
                  <c:v>1.2963617665628851E-2</c:v>
                </c:pt>
                <c:pt idx="1">
                  <c:v>1.0250857343186447E-2</c:v>
                </c:pt>
                <c:pt idx="2">
                  <c:v>1.0174492530968001E-2</c:v>
                </c:pt>
                <c:pt idx="3">
                  <c:v>9.0385052883498098E-3</c:v>
                </c:pt>
                <c:pt idx="4">
                  <c:v>7.7993185739083301E-3</c:v>
                </c:pt>
                <c:pt idx="5">
                  <c:v>7.0568204107809901E-3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1-4146-A99D-8ABA5E4C0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410687"/>
        <c:axId val="1885411519"/>
      </c:lineChart>
      <c:catAx>
        <c:axId val="188541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411519"/>
        <c:crosses val="autoZero"/>
        <c:auto val="1"/>
        <c:lblAlgn val="ctr"/>
        <c:lblOffset val="100"/>
        <c:noMultiLvlLbl val="0"/>
      </c:catAx>
      <c:valAx>
        <c:axId val="188541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41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Статистика!$J$11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Статистика!$K$11:$P$11</c:f>
              <c:numCache>
                <c:formatCode>General</c:formatCode>
                <c:ptCount val="6"/>
                <c:pt idx="0">
                  <c:v>9.2292313019297061E-3</c:v>
                </c:pt>
                <c:pt idx="1">
                  <c:v>8.1108504180665598E-3</c:v>
                </c:pt>
                <c:pt idx="2">
                  <c:v>7.9790522905714093E-3</c:v>
                </c:pt>
                <c:pt idx="3">
                  <c:v>7.2534672394832904E-3</c:v>
                </c:pt>
                <c:pt idx="4">
                  <c:v>6.1315164533358004E-3</c:v>
                </c:pt>
                <c:pt idx="5">
                  <c:v>5.4502489101233001E-3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3-437F-A84B-D010C069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416511"/>
        <c:axId val="1885418175"/>
      </c:lineChart>
      <c:catAx>
        <c:axId val="188541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418175"/>
        <c:crosses val="autoZero"/>
        <c:auto val="1"/>
        <c:lblAlgn val="ctr"/>
        <c:lblOffset val="100"/>
        <c:noMultiLvlLbl val="0"/>
      </c:catAx>
      <c:valAx>
        <c:axId val="18854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41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Статистика!$J$14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Статистика!$K$14:$P$14</c:f>
              <c:numCache>
                <c:formatCode>General</c:formatCode>
                <c:ptCount val="6"/>
                <c:pt idx="0">
                  <c:v>1.30500802132888E-2</c:v>
                </c:pt>
                <c:pt idx="1">
                  <c:v>1.24540156734698E-2</c:v>
                </c:pt>
                <c:pt idx="2">
                  <c:v>1.1684593005944474E-2</c:v>
                </c:pt>
                <c:pt idx="3">
                  <c:v>1.1142599313671659E-2</c:v>
                </c:pt>
                <c:pt idx="4">
                  <c:v>1.0964401831841501E-2</c:v>
                </c:pt>
                <c:pt idx="5">
                  <c:v>1.0534345179189277E-2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8-4F45-83BA-B203EB022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752143"/>
        <c:axId val="1933749231"/>
      </c:lineChart>
      <c:catAx>
        <c:axId val="193375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749231"/>
        <c:crosses val="autoZero"/>
        <c:auto val="1"/>
        <c:lblAlgn val="ctr"/>
        <c:lblOffset val="100"/>
        <c:noMultiLvlLbl val="0"/>
      </c:catAx>
      <c:valAx>
        <c:axId val="193374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75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600822</xdr:colOff>
      <xdr:row>25</xdr:row>
      <xdr:rowOff>25214</xdr:rowOff>
    </xdr:from>
    <xdr:to>
      <xdr:col>9</xdr:col>
      <xdr:colOff>649754</xdr:colOff>
      <xdr:row>40</xdr:row>
      <xdr:rowOff>14382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8404</xdr:colOff>
      <xdr:row>25</xdr:row>
      <xdr:rowOff>9525</xdr:rowOff>
    </xdr:from>
    <xdr:to>
      <xdr:col>13</xdr:col>
      <xdr:colOff>158189</xdr:colOff>
      <xdr:row>39</xdr:row>
      <xdr:rowOff>179480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10</xdr:row>
      <xdr:rowOff>142875</xdr:rowOff>
    </xdr:from>
    <xdr:to>
      <xdr:col>24</xdr:col>
      <xdr:colOff>552450</xdr:colOff>
      <xdr:row>21</xdr:row>
      <xdr:rowOff>38100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336549</xdr:colOff>
      <xdr:row>0</xdr:row>
      <xdr:rowOff>60325</xdr:rowOff>
    </xdr:from>
    <xdr:to>
      <xdr:col>24</xdr:col>
      <xdr:colOff>523874</xdr:colOff>
      <xdr:row>10</xdr:row>
      <xdr:rowOff>50800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339725</xdr:colOff>
      <xdr:row>21</xdr:row>
      <xdr:rowOff>79375</xdr:rowOff>
    </xdr:from>
    <xdr:to>
      <xdr:col>24</xdr:col>
      <xdr:colOff>571500</xdr:colOff>
      <xdr:row>30</xdr:row>
      <xdr:rowOff>152400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339725</xdr:colOff>
      <xdr:row>31</xdr:row>
      <xdr:rowOff>60325</xdr:rowOff>
    </xdr:from>
    <xdr:to>
      <xdr:col>24</xdr:col>
      <xdr:colOff>584200</xdr:colOff>
      <xdr:row>40</xdr:row>
      <xdr:rowOff>120650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358775</xdr:colOff>
      <xdr:row>40</xdr:row>
      <xdr:rowOff>174625</xdr:rowOff>
    </xdr:from>
    <xdr:to>
      <xdr:col>24</xdr:col>
      <xdr:colOff>596900</xdr:colOff>
      <xdr:row>50</xdr:row>
      <xdr:rowOff>50800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C1" zoomScale="85" zoomScaleNormal="85" workbookViewId="0">
      <selection activeCell="C2" sqref="C2"/>
    </sheetView>
  </sheetViews>
  <sheetFormatPr defaultColWidth="9.140625" defaultRowHeight="15" x14ac:dyDescent="0.25"/>
  <cols>
    <col min="1" max="1" width="23.28515625" style="3" customWidth="1"/>
    <col min="2" max="2" width="18.140625" style="3" customWidth="1"/>
    <col min="3" max="3" width="26.42578125" style="3" customWidth="1"/>
    <col min="4" max="4" width="30.140625" style="3" customWidth="1"/>
    <col min="5" max="5" width="30.5703125" style="3" customWidth="1"/>
    <col min="6" max="6" width="9.140625" style="3"/>
    <col min="7" max="7" width="27.85546875" style="3" customWidth="1"/>
    <col min="8" max="8" width="18.140625" style="3" customWidth="1"/>
    <col min="9" max="9" width="25.7109375" style="3" customWidth="1"/>
    <col min="10" max="10" width="22.7109375" style="3" customWidth="1"/>
    <col min="11" max="11" width="34.85546875" style="3" customWidth="1"/>
    <col min="12" max="12" width="18" style="3" customWidth="1"/>
    <col min="13" max="13" width="26.5703125" style="3" customWidth="1"/>
    <col min="14" max="14" width="19" style="3" customWidth="1"/>
    <col min="15" max="15" width="25.85546875" style="3" customWidth="1"/>
    <col min="16" max="16384" width="9.140625" style="3"/>
  </cols>
  <sheetData>
    <row r="1" spans="1:15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G1" s="67" t="s">
        <v>18</v>
      </c>
      <c r="H1" s="68"/>
      <c r="I1" s="68" t="s">
        <v>19</v>
      </c>
      <c r="J1" s="69"/>
      <c r="K1" s="34"/>
      <c r="L1" s="67" t="s">
        <v>25</v>
      </c>
      <c r="M1" s="68"/>
      <c r="N1" s="36">
        <v>500</v>
      </c>
    </row>
    <row r="2" spans="1:15" ht="15.75" thickBot="1" x14ac:dyDescent="0.3">
      <c r="A2" s="21">
        <f t="shared" ref="A2:A65" ca="1" si="0">RANDBETWEEN(150,300)</f>
        <v>288</v>
      </c>
      <c r="B2" s="3">
        <f t="shared" ref="B2:B65" ca="1" si="1">RANDBETWEEN(40,55)</f>
        <v>40</v>
      </c>
      <c r="C2" s="3">
        <f t="shared" ref="C2:C65" ca="1" si="2">RANDBETWEEN(25,35)</f>
        <v>35</v>
      </c>
      <c r="D2" s="3">
        <f ca="1">(A2*(B2-C2)-$N$1-$N$2)*(1-$N$3)+$N$2</f>
        <v>738.4</v>
      </c>
      <c r="E2" s="22">
        <f ca="1">PV($N$4,$N$5,-D2,$N$6,1)</f>
        <v>1837.1859994660101</v>
      </c>
      <c r="G2" s="63"/>
      <c r="H2" s="64"/>
      <c r="I2" s="4" t="s">
        <v>20</v>
      </c>
      <c r="J2" s="6" t="s">
        <v>21</v>
      </c>
      <c r="K2" s="46"/>
      <c r="L2" s="63" t="s">
        <v>26</v>
      </c>
      <c r="M2" s="64"/>
      <c r="N2" s="37">
        <v>100</v>
      </c>
    </row>
    <row r="3" spans="1:15" x14ac:dyDescent="0.25">
      <c r="A3" s="21">
        <f t="shared" ca="1" si="0"/>
        <v>227</v>
      </c>
      <c r="B3" s="3">
        <f t="shared" ca="1" si="1"/>
        <v>48</v>
      </c>
      <c r="C3" s="3">
        <f t="shared" ca="1" si="2"/>
        <v>28</v>
      </c>
      <c r="D3" s="3">
        <f t="shared" ref="D3:D66" ca="1" si="3">(A3*(B3-C3)-$N$1-$N$2)*(1-$N$3)+$N$2</f>
        <v>3094.4</v>
      </c>
      <c r="E3" s="22">
        <f t="shared" ref="E3:E66" ca="1" si="4">PV($N$4,$N$5,-D3,$N$6,1)</f>
        <v>11661.388991064952</v>
      </c>
      <c r="G3" s="63" t="s">
        <v>22</v>
      </c>
      <c r="H3" s="64"/>
      <c r="I3" s="5">
        <v>150</v>
      </c>
      <c r="J3" s="7">
        <v>300</v>
      </c>
      <c r="K3" s="48"/>
      <c r="L3" s="63" t="s">
        <v>27</v>
      </c>
      <c r="M3" s="64"/>
      <c r="N3" s="38">
        <v>0.24</v>
      </c>
    </row>
    <row r="4" spans="1:15" x14ac:dyDescent="0.25">
      <c r="A4" s="21">
        <f t="shared" ca="1" si="0"/>
        <v>249</v>
      </c>
      <c r="B4" s="3">
        <f t="shared" ca="1" si="1"/>
        <v>55</v>
      </c>
      <c r="C4" s="3">
        <f t="shared" ca="1" si="2"/>
        <v>35</v>
      </c>
      <c r="D4" s="3">
        <f t="shared" ca="1" si="3"/>
        <v>3428.8</v>
      </c>
      <c r="E4" s="22">
        <f t="shared" ca="1" si="4"/>
        <v>13055.791996324157</v>
      </c>
      <c r="G4" s="63" t="s">
        <v>23</v>
      </c>
      <c r="H4" s="64"/>
      <c r="I4" s="5">
        <v>40</v>
      </c>
      <c r="J4" s="7">
        <v>55</v>
      </c>
      <c r="K4" s="49"/>
      <c r="L4" s="63" t="s">
        <v>28</v>
      </c>
      <c r="M4" s="64"/>
      <c r="N4" s="38">
        <v>0.1</v>
      </c>
      <c r="O4" s="2"/>
    </row>
    <row r="5" spans="1:15" ht="15.75" thickBot="1" x14ac:dyDescent="0.3">
      <c r="A5" s="21">
        <f t="shared" ca="1" si="0"/>
        <v>284</v>
      </c>
      <c r="B5" s="3">
        <f t="shared" ca="1" si="1"/>
        <v>50</v>
      </c>
      <c r="C5" s="3">
        <f t="shared" ca="1" si="2"/>
        <v>30</v>
      </c>
      <c r="D5" s="3">
        <f t="shared" ca="1" si="3"/>
        <v>3960.8</v>
      </c>
      <c r="E5" s="22">
        <f t="shared" ca="1" si="4"/>
        <v>15274.160413781981</v>
      </c>
      <c r="G5" s="65" t="s">
        <v>24</v>
      </c>
      <c r="H5" s="66"/>
      <c r="I5" s="8">
        <v>25</v>
      </c>
      <c r="J5" s="9">
        <v>35</v>
      </c>
      <c r="K5" s="50"/>
      <c r="L5" s="63" t="s">
        <v>29</v>
      </c>
      <c r="M5" s="64"/>
      <c r="N5" s="37">
        <v>5</v>
      </c>
    </row>
    <row r="6" spans="1:15" ht="15.75" thickBot="1" x14ac:dyDescent="0.3">
      <c r="A6" s="21">
        <f t="shared" ca="1" si="0"/>
        <v>174</v>
      </c>
      <c r="B6" s="3">
        <f t="shared" ca="1" si="1"/>
        <v>47</v>
      </c>
      <c r="C6" s="3">
        <f t="shared" ca="1" si="2"/>
        <v>25</v>
      </c>
      <c r="D6" s="3">
        <f t="shared" ca="1" si="3"/>
        <v>2553.2800000000002</v>
      </c>
      <c r="E6" s="22">
        <f t="shared" ca="1" si="4"/>
        <v>9404.9914007364223</v>
      </c>
      <c r="G6" s="33"/>
      <c r="H6" s="33"/>
      <c r="I6" s="33"/>
      <c r="J6" s="33"/>
      <c r="K6" s="47"/>
      <c r="L6" s="65" t="s">
        <v>30</v>
      </c>
      <c r="M6" s="66"/>
      <c r="N6" s="39">
        <v>2000</v>
      </c>
    </row>
    <row r="7" spans="1:15" x14ac:dyDescent="0.25">
      <c r="A7" s="21">
        <f t="shared" ca="1" si="0"/>
        <v>192</v>
      </c>
      <c r="B7" s="3">
        <f t="shared" ca="1" si="1"/>
        <v>54</v>
      </c>
      <c r="C7" s="3">
        <f t="shared" ca="1" si="2"/>
        <v>25</v>
      </c>
      <c r="D7" s="3">
        <f t="shared" ca="1" si="3"/>
        <v>3875.68</v>
      </c>
      <c r="E7" s="22">
        <f t="shared" ca="1" si="4"/>
        <v>14919.221466988727</v>
      </c>
      <c r="G7" s="10"/>
      <c r="H7" s="10"/>
      <c r="I7" s="10"/>
      <c r="J7" s="10"/>
      <c r="K7" s="10"/>
      <c r="L7" s="35"/>
      <c r="M7" s="35"/>
    </row>
    <row r="8" spans="1:15" x14ac:dyDescent="0.25">
      <c r="A8" s="21">
        <f t="shared" ca="1" si="0"/>
        <v>254</v>
      </c>
      <c r="B8" s="3">
        <f t="shared" ca="1" si="1"/>
        <v>44</v>
      </c>
      <c r="C8" s="3">
        <f t="shared" ca="1" si="2"/>
        <v>26</v>
      </c>
      <c r="D8" s="3">
        <f t="shared" ca="1" si="3"/>
        <v>3118.7200000000003</v>
      </c>
      <c r="E8" s="22">
        <f t="shared" ca="1" si="4"/>
        <v>11762.800118720168</v>
      </c>
      <c r="G8" s="10"/>
      <c r="H8" s="10"/>
      <c r="I8" s="10"/>
      <c r="J8" s="10"/>
      <c r="K8" s="10"/>
      <c r="L8" s="10"/>
      <c r="M8" s="10"/>
    </row>
    <row r="9" spans="1:15" x14ac:dyDescent="0.25">
      <c r="A9" s="21">
        <f t="shared" ca="1" si="0"/>
        <v>164</v>
      </c>
      <c r="B9" s="3">
        <f t="shared" ca="1" si="1"/>
        <v>49</v>
      </c>
      <c r="C9" s="3">
        <f t="shared" ca="1" si="2"/>
        <v>29</v>
      </c>
      <c r="D9" s="3">
        <f t="shared" ca="1" si="3"/>
        <v>2136.8000000000002</v>
      </c>
      <c r="E9" s="22">
        <f t="shared" ca="1" si="4"/>
        <v>7668.3258396408664</v>
      </c>
      <c r="G9" s="10"/>
      <c r="H9" s="10"/>
      <c r="I9" s="10"/>
      <c r="J9" s="10"/>
      <c r="K9" s="10"/>
      <c r="L9" s="10"/>
      <c r="M9" s="10"/>
    </row>
    <row r="10" spans="1:15" x14ac:dyDescent="0.25">
      <c r="A10" s="21">
        <f t="shared" ca="1" si="0"/>
        <v>258</v>
      </c>
      <c r="B10" s="3">
        <f t="shared" ca="1" si="1"/>
        <v>43</v>
      </c>
      <c r="C10" s="3">
        <f t="shared" ca="1" si="2"/>
        <v>30</v>
      </c>
      <c r="D10" s="3">
        <f t="shared" ca="1" si="3"/>
        <v>2193.04</v>
      </c>
      <c r="E10" s="22">
        <f t="shared" ca="1" si="4"/>
        <v>7902.8390723435496</v>
      </c>
      <c r="G10" s="10"/>
      <c r="H10" s="10"/>
      <c r="I10" s="10"/>
      <c r="J10" s="10"/>
      <c r="K10" s="10"/>
      <c r="L10" s="10"/>
      <c r="M10" s="10"/>
    </row>
    <row r="11" spans="1:15" x14ac:dyDescent="0.25">
      <c r="A11" s="21">
        <f t="shared" ca="1" si="0"/>
        <v>150</v>
      </c>
      <c r="B11" s="3">
        <f t="shared" ca="1" si="1"/>
        <v>49</v>
      </c>
      <c r="C11" s="3">
        <f t="shared" ca="1" si="2"/>
        <v>31</v>
      </c>
      <c r="D11" s="3">
        <f t="shared" ca="1" si="3"/>
        <v>1696</v>
      </c>
      <c r="E11" s="22">
        <f t="shared" ca="1" si="4"/>
        <v>5830.2491508900966</v>
      </c>
      <c r="G11" s="10"/>
      <c r="H11" s="10"/>
      <c r="I11" s="10"/>
      <c r="J11" s="10"/>
      <c r="K11" s="10"/>
      <c r="L11" s="10"/>
      <c r="M11" s="10"/>
    </row>
    <row r="12" spans="1:15" x14ac:dyDescent="0.25">
      <c r="A12" s="21">
        <f t="shared" ca="1" si="0"/>
        <v>267</v>
      </c>
      <c r="B12" s="3">
        <f t="shared" ca="1" si="1"/>
        <v>43</v>
      </c>
      <c r="C12" s="3">
        <f t="shared" ca="1" si="2"/>
        <v>25</v>
      </c>
      <c r="D12" s="3">
        <f t="shared" ca="1" si="3"/>
        <v>3296.56</v>
      </c>
      <c r="E12" s="22">
        <f t="shared" ca="1" si="4"/>
        <v>12504.368989698925</v>
      </c>
      <c r="G12" s="10"/>
      <c r="H12" s="10"/>
      <c r="I12" s="10"/>
      <c r="J12" s="10"/>
      <c r="K12" s="10"/>
      <c r="L12" s="10"/>
      <c r="M12" s="10"/>
    </row>
    <row r="13" spans="1:15" x14ac:dyDescent="0.25">
      <c r="A13" s="21">
        <f t="shared" ca="1" si="0"/>
        <v>232</v>
      </c>
      <c r="B13" s="3">
        <f t="shared" ca="1" si="1"/>
        <v>44</v>
      </c>
      <c r="C13" s="3">
        <f t="shared" ca="1" si="2"/>
        <v>30</v>
      </c>
      <c r="D13" s="3">
        <f t="shared" ca="1" si="3"/>
        <v>2112.48</v>
      </c>
      <c r="E13" s="22">
        <f t="shared" ca="1" si="4"/>
        <v>7566.9147119856507</v>
      </c>
      <c r="G13" s="10"/>
      <c r="H13" s="10"/>
      <c r="I13" s="10"/>
      <c r="J13" s="10"/>
      <c r="K13" s="10"/>
      <c r="L13" s="10"/>
      <c r="M13" s="10"/>
    </row>
    <row r="14" spans="1:15" x14ac:dyDescent="0.25">
      <c r="A14" s="21">
        <f t="shared" ca="1" si="0"/>
        <v>298</v>
      </c>
      <c r="B14" s="3">
        <f t="shared" ca="1" si="1"/>
        <v>40</v>
      </c>
      <c r="C14" s="3">
        <f t="shared" ca="1" si="2"/>
        <v>33</v>
      </c>
      <c r="D14" s="3">
        <f t="shared" ca="1" si="3"/>
        <v>1229.3599999999999</v>
      </c>
      <c r="E14" s="22">
        <f t="shared" ca="1" si="4"/>
        <v>3884.4231390056598</v>
      </c>
      <c r="G14" s="10"/>
      <c r="H14" s="10"/>
      <c r="I14" s="10"/>
      <c r="J14" s="10"/>
      <c r="K14" s="10"/>
      <c r="L14" s="10"/>
      <c r="M14" s="10"/>
    </row>
    <row r="15" spans="1:15" ht="23.25" thickBot="1" x14ac:dyDescent="0.35">
      <c r="A15" s="21">
        <f t="shared" ca="1" si="0"/>
        <v>176</v>
      </c>
      <c r="B15" s="3">
        <f t="shared" ca="1" si="1"/>
        <v>52</v>
      </c>
      <c r="C15" s="3">
        <f t="shared" ca="1" si="2"/>
        <v>31</v>
      </c>
      <c r="D15" s="3">
        <f t="shared" ca="1" si="3"/>
        <v>2452.96</v>
      </c>
      <c r="E15" s="22">
        <f t="shared" ca="1" si="4"/>
        <v>8986.6704991586594</v>
      </c>
      <c r="G15" s="78" t="s">
        <v>62</v>
      </c>
      <c r="H15" s="11"/>
      <c r="I15" s="11"/>
      <c r="J15" s="11"/>
      <c r="K15" s="11"/>
      <c r="L15" s="11"/>
      <c r="M15" s="10"/>
    </row>
    <row r="16" spans="1:15" x14ac:dyDescent="0.25">
      <c r="A16" s="21">
        <f t="shared" ca="1" si="0"/>
        <v>268</v>
      </c>
      <c r="B16" s="3">
        <f t="shared" ca="1" si="1"/>
        <v>54</v>
      </c>
      <c r="C16" s="3">
        <f t="shared" ca="1" si="2"/>
        <v>33</v>
      </c>
      <c r="D16" s="3">
        <f t="shared" ca="1" si="3"/>
        <v>3921.28</v>
      </c>
      <c r="E16" s="22">
        <f t="shared" ca="1" si="4"/>
        <v>15109.367331342257</v>
      </c>
      <c r="G16" s="41" t="s">
        <v>5</v>
      </c>
      <c r="H16" s="42" t="s">
        <v>6</v>
      </c>
      <c r="I16" s="42" t="s">
        <v>7</v>
      </c>
      <c r="J16" s="42" t="s">
        <v>8</v>
      </c>
      <c r="K16" s="42" t="s">
        <v>9</v>
      </c>
      <c r="L16" s="43" t="s">
        <v>10</v>
      </c>
      <c r="M16" s="40"/>
    </row>
    <row r="17" spans="1:13" x14ac:dyDescent="0.25">
      <c r="A17" s="21">
        <f t="shared" ca="1" si="0"/>
        <v>251</v>
      </c>
      <c r="B17" s="3">
        <f t="shared" ca="1" si="1"/>
        <v>40</v>
      </c>
      <c r="C17" s="3">
        <f t="shared" ca="1" si="2"/>
        <v>32</v>
      </c>
      <c r="D17" s="3">
        <f t="shared" ca="1" si="3"/>
        <v>1170.08</v>
      </c>
      <c r="E17" s="22">
        <f t="shared" ca="1" si="4"/>
        <v>3637.233515346074</v>
      </c>
      <c r="G17" s="44" t="s">
        <v>11</v>
      </c>
      <c r="H17" s="10">
        <f ca="1">AVERAGE($A$2:$A$501)</f>
        <v>226.15</v>
      </c>
      <c r="I17" s="10">
        <f ca="1">AVERAGE($B$2:$B$501)</f>
        <v>47.67</v>
      </c>
      <c r="J17" s="10">
        <f ca="1">AVERAGE($C$2:$C$501)</f>
        <v>29.846</v>
      </c>
      <c r="K17" s="10">
        <f ca="1">AVERAGE($D$2:$D$501)</f>
        <v>2710.5118400000001</v>
      </c>
      <c r="L17" s="16">
        <f ca="1">AVERAGE($E$2:$E$501)</f>
        <v>10060.627017418348</v>
      </c>
      <c r="M17" s="40"/>
    </row>
    <row r="18" spans="1:13" x14ac:dyDescent="0.25">
      <c r="A18" s="21">
        <f t="shared" ca="1" si="0"/>
        <v>202</v>
      </c>
      <c r="B18" s="3">
        <f t="shared" ca="1" si="1"/>
        <v>53</v>
      </c>
      <c r="C18" s="3">
        <f t="shared" ca="1" si="2"/>
        <v>25</v>
      </c>
      <c r="D18" s="3">
        <f t="shared" ca="1" si="3"/>
        <v>3942.56</v>
      </c>
      <c r="E18" s="22">
        <f t="shared" ca="1" si="4"/>
        <v>15198.102068040571</v>
      </c>
      <c r="G18" s="44" t="s">
        <v>12</v>
      </c>
      <c r="H18" s="10">
        <f ca="1">MIN($A$2:$A$501)</f>
        <v>150</v>
      </c>
      <c r="I18" s="10">
        <f ca="1">MIN($B$2:$B$501)</f>
        <v>40</v>
      </c>
      <c r="J18" s="10">
        <f ca="1">MIN($C$2:$C$501)</f>
        <v>25</v>
      </c>
      <c r="K18" s="10">
        <f ca="1">MIN($D$2:$D$501)</f>
        <v>328</v>
      </c>
      <c r="L18" s="16">
        <f ca="1">MIN($E$2:$E$501)</f>
        <v>125.87322028425918</v>
      </c>
      <c r="M18" s="40"/>
    </row>
    <row r="19" spans="1:13" x14ac:dyDescent="0.25">
      <c r="A19" s="21">
        <f t="shared" ca="1" si="0"/>
        <v>259</v>
      </c>
      <c r="B19" s="3">
        <f t="shared" ca="1" si="1"/>
        <v>53</v>
      </c>
      <c r="C19" s="3">
        <f t="shared" ca="1" si="2"/>
        <v>25</v>
      </c>
      <c r="D19" s="3">
        <f t="shared" ca="1" si="3"/>
        <v>5155.5200000000004</v>
      </c>
      <c r="E19" s="22">
        <f t="shared" ca="1" si="4"/>
        <v>20255.982059844417</v>
      </c>
      <c r="G19" s="44" t="s">
        <v>13</v>
      </c>
      <c r="H19" s="10">
        <f ca="1">MAX($A$2:$A$501)</f>
        <v>300</v>
      </c>
      <c r="I19" s="10">
        <f ca="1">MAX($B$2:$B$501)</f>
        <v>55</v>
      </c>
      <c r="J19" s="10">
        <f ca="1">MAX($C$2:$C$501)</f>
        <v>35</v>
      </c>
      <c r="K19" s="10">
        <f ca="1">MAX($D$2:$D$501)</f>
        <v>6101.72</v>
      </c>
      <c r="L19" s="16">
        <f ca="1">MAX($E$2:$E$501)</f>
        <v>24201.508745180116</v>
      </c>
      <c r="M19" s="40"/>
    </row>
    <row r="20" spans="1:13" x14ac:dyDescent="0.25">
      <c r="A20" s="21">
        <f t="shared" ca="1" si="0"/>
        <v>239</v>
      </c>
      <c r="B20" s="3">
        <f t="shared" ca="1" si="1"/>
        <v>49</v>
      </c>
      <c r="C20" s="3">
        <f t="shared" ca="1" si="2"/>
        <v>25</v>
      </c>
      <c r="D20" s="3">
        <f t="shared" ca="1" si="3"/>
        <v>4003.36</v>
      </c>
      <c r="E20" s="22">
        <f t="shared" ca="1" si="4"/>
        <v>15451.629887178609</v>
      </c>
      <c r="G20" s="44" t="s">
        <v>14</v>
      </c>
      <c r="H20" s="10">
        <f ca="1">STDEV($A$2:$A$501)</f>
        <v>44.023170934841993</v>
      </c>
      <c r="I20" s="10">
        <f ca="1">STDEV($B$2:$B$501)</f>
        <v>4.6785550927087556</v>
      </c>
      <c r="J20" s="10">
        <f ca="1">STDEV($C$2:$C$501)</f>
        <v>3.1224643420116509</v>
      </c>
      <c r="K20" s="10">
        <f ca="1">STDEV($D$2:$D$501)</f>
        <v>1189.5097653300047</v>
      </c>
      <c r="L20" s="16">
        <f ca="1">STDEV($E$2:$E$501)</f>
        <v>4960.0956685446272</v>
      </c>
      <c r="M20" s="40"/>
    </row>
    <row r="21" spans="1:13" x14ac:dyDescent="0.25">
      <c r="A21" s="21">
        <f t="shared" ca="1" si="0"/>
        <v>154</v>
      </c>
      <c r="B21" s="3">
        <f t="shared" ca="1" si="1"/>
        <v>43</v>
      </c>
      <c r="C21" s="3">
        <f t="shared" ca="1" si="2"/>
        <v>32</v>
      </c>
      <c r="D21" s="3">
        <f t="shared" ca="1" si="3"/>
        <v>931.44</v>
      </c>
      <c r="E21" s="22">
        <f t="shared" ca="1" si="4"/>
        <v>2642.1368252292787</v>
      </c>
      <c r="G21" s="44" t="s">
        <v>15</v>
      </c>
      <c r="H21" s="10" t="s">
        <v>16</v>
      </c>
      <c r="I21" s="10" t="s">
        <v>16</v>
      </c>
      <c r="J21" s="10" t="s">
        <v>16</v>
      </c>
      <c r="K21" s="10" t="s">
        <v>16</v>
      </c>
      <c r="L21" s="16">
        <f ca="1">COUNTIF($E$2:$E$501, "&lt;0")</f>
        <v>0</v>
      </c>
      <c r="M21" s="40"/>
    </row>
    <row r="22" spans="1:13" ht="15.75" thickBot="1" x14ac:dyDescent="0.3">
      <c r="A22" s="21">
        <f t="shared" ca="1" si="0"/>
        <v>169</v>
      </c>
      <c r="B22" s="3">
        <f t="shared" ca="1" si="1"/>
        <v>50</v>
      </c>
      <c r="C22" s="3">
        <f t="shared" ca="1" si="2"/>
        <v>33</v>
      </c>
      <c r="D22" s="3">
        <f t="shared" ca="1" si="3"/>
        <v>1827.48</v>
      </c>
      <c r="E22" s="22">
        <f t="shared" ca="1" si="4"/>
        <v>6378.5030597761015</v>
      </c>
      <c r="G22" s="45" t="s">
        <v>17</v>
      </c>
      <c r="H22" s="17" t="s">
        <v>16</v>
      </c>
      <c r="I22" s="17" t="s">
        <v>16</v>
      </c>
      <c r="J22" s="17" t="s">
        <v>16</v>
      </c>
      <c r="K22" s="17" t="s">
        <v>16</v>
      </c>
      <c r="L22" s="18">
        <f ca="1">COUNTIF($E$2:$E$501, "&lt;0")/500</f>
        <v>0</v>
      </c>
      <c r="M22" s="40"/>
    </row>
    <row r="23" spans="1:13" x14ac:dyDescent="0.25">
      <c r="A23" s="21">
        <f t="shared" ca="1" si="0"/>
        <v>245</v>
      </c>
      <c r="B23" s="3">
        <f t="shared" ca="1" si="1"/>
        <v>51</v>
      </c>
      <c r="C23" s="3">
        <f t="shared" ca="1" si="2"/>
        <v>32</v>
      </c>
      <c r="D23" s="3">
        <f t="shared" ca="1" si="3"/>
        <v>3181.8</v>
      </c>
      <c r="E23" s="22">
        <f t="shared" ca="1" si="4"/>
        <v>12025.83523107588</v>
      </c>
    </row>
    <row r="24" spans="1:13" ht="15.75" thickBot="1" x14ac:dyDescent="0.3">
      <c r="A24" s="21">
        <f t="shared" ca="1" si="0"/>
        <v>156</v>
      </c>
      <c r="B24" s="3">
        <f t="shared" ca="1" si="1"/>
        <v>47</v>
      </c>
      <c r="C24" s="3">
        <f t="shared" ca="1" si="2"/>
        <v>29</v>
      </c>
      <c r="D24" s="3">
        <f t="shared" ca="1" si="3"/>
        <v>1778.08</v>
      </c>
      <c r="E24" s="22">
        <f t="shared" ca="1" si="4"/>
        <v>6172.5117067264455</v>
      </c>
    </row>
    <row r="25" spans="1:13" ht="22.5" x14ac:dyDescent="0.3">
      <c r="A25" s="21">
        <f t="shared" ca="1" si="0"/>
        <v>274</v>
      </c>
      <c r="B25" s="3">
        <f t="shared" ca="1" si="1"/>
        <v>42</v>
      </c>
      <c r="C25" s="3">
        <f t="shared" ca="1" si="2"/>
        <v>26</v>
      </c>
      <c r="D25" s="3">
        <f t="shared" ca="1" si="3"/>
        <v>2975.84</v>
      </c>
      <c r="E25" s="22">
        <f t="shared" ca="1" si="4"/>
        <v>11167.009743745779</v>
      </c>
      <c r="G25" s="78" t="s">
        <v>63</v>
      </c>
      <c r="H25" s="53"/>
    </row>
    <row r="26" spans="1:13" x14ac:dyDescent="0.25">
      <c r="A26" s="21">
        <f t="shared" ca="1" si="0"/>
        <v>248</v>
      </c>
      <c r="B26" s="3">
        <f t="shared" ca="1" si="1"/>
        <v>54</v>
      </c>
      <c r="C26" s="3">
        <f t="shared" ca="1" si="2"/>
        <v>35</v>
      </c>
      <c r="D26" s="3">
        <f t="shared" ca="1" si="3"/>
        <v>3225.12</v>
      </c>
      <c r="E26" s="22">
        <f t="shared" ca="1" si="4"/>
        <v>12206.473802211731</v>
      </c>
      <c r="G26"/>
      <c r="H26"/>
    </row>
    <row r="27" spans="1:13" x14ac:dyDescent="0.25">
      <c r="A27" s="21">
        <f t="shared" ca="1" si="0"/>
        <v>262</v>
      </c>
      <c r="B27" s="3">
        <f t="shared" ca="1" si="1"/>
        <v>41</v>
      </c>
      <c r="C27" s="3">
        <f t="shared" ca="1" si="2"/>
        <v>28</v>
      </c>
      <c r="D27" s="3">
        <f t="shared" ca="1" si="3"/>
        <v>2232.56</v>
      </c>
      <c r="E27" s="22">
        <f t="shared" ca="1" si="4"/>
        <v>8067.632154783274</v>
      </c>
      <c r="G27"/>
      <c r="H27"/>
    </row>
    <row r="28" spans="1:13" x14ac:dyDescent="0.25">
      <c r="A28" s="21">
        <f t="shared" ca="1" si="0"/>
        <v>217</v>
      </c>
      <c r="B28" s="3">
        <f t="shared" ca="1" si="1"/>
        <v>47</v>
      </c>
      <c r="C28" s="3">
        <f t="shared" ca="1" si="2"/>
        <v>25</v>
      </c>
      <c r="D28" s="3">
        <f t="shared" ca="1" si="3"/>
        <v>3272.2400000000002</v>
      </c>
      <c r="E28" s="22">
        <f t="shared" ca="1" si="4"/>
        <v>12402.957862043711</v>
      </c>
      <c r="G28"/>
      <c r="H28"/>
    </row>
    <row r="29" spans="1:13" x14ac:dyDescent="0.25">
      <c r="A29" s="21">
        <f t="shared" ca="1" si="0"/>
        <v>293</v>
      </c>
      <c r="B29" s="3">
        <f t="shared" ca="1" si="1"/>
        <v>54</v>
      </c>
      <c r="C29" s="3">
        <f t="shared" ca="1" si="2"/>
        <v>34</v>
      </c>
      <c r="D29" s="3">
        <f t="shared" ca="1" si="3"/>
        <v>4097.6000000000004</v>
      </c>
      <c r="E29" s="22">
        <f t="shared" ca="1" si="4"/>
        <v>15844.598006842567</v>
      </c>
      <c r="G29"/>
      <c r="H29"/>
    </row>
    <row r="30" spans="1:13" x14ac:dyDescent="0.25">
      <c r="A30" s="21">
        <f t="shared" ca="1" si="0"/>
        <v>291</v>
      </c>
      <c r="B30" s="3">
        <f t="shared" ca="1" si="1"/>
        <v>54</v>
      </c>
      <c r="C30" s="3">
        <f t="shared" ca="1" si="2"/>
        <v>26</v>
      </c>
      <c r="D30" s="3">
        <f t="shared" ca="1" si="3"/>
        <v>5836.4800000000005</v>
      </c>
      <c r="E30" s="22">
        <f t="shared" ca="1" si="4"/>
        <v>23095.493634190432</v>
      </c>
      <c r="G30"/>
      <c r="H30"/>
    </row>
    <row r="31" spans="1:13" x14ac:dyDescent="0.25">
      <c r="A31" s="21">
        <f t="shared" ca="1" si="0"/>
        <v>266</v>
      </c>
      <c r="B31" s="3">
        <f t="shared" ca="1" si="1"/>
        <v>54</v>
      </c>
      <c r="C31" s="3">
        <f t="shared" ca="1" si="2"/>
        <v>31</v>
      </c>
      <c r="D31" s="3">
        <f t="shared" ca="1" si="3"/>
        <v>4293.68</v>
      </c>
      <c r="E31" s="22">
        <f t="shared" ca="1" si="4"/>
        <v>16662.225223562735</v>
      </c>
      <c r="G31"/>
      <c r="H31"/>
    </row>
    <row r="32" spans="1:13" ht="15.75" thickBot="1" x14ac:dyDescent="0.3">
      <c r="A32" s="21">
        <f t="shared" ca="1" si="0"/>
        <v>199</v>
      </c>
      <c r="B32" s="3">
        <f t="shared" ca="1" si="1"/>
        <v>43</v>
      </c>
      <c r="C32" s="3">
        <f t="shared" ca="1" si="2"/>
        <v>30</v>
      </c>
      <c r="D32" s="3">
        <f t="shared" ca="1" si="3"/>
        <v>1610.1200000000001</v>
      </c>
      <c r="E32" s="22">
        <f t="shared" ca="1" si="4"/>
        <v>5472.1411063576197</v>
      </c>
      <c r="G32"/>
      <c r="H32"/>
    </row>
    <row r="33" spans="1:16" x14ac:dyDescent="0.25">
      <c r="A33" s="21">
        <f t="shared" ca="1" si="0"/>
        <v>151</v>
      </c>
      <c r="B33" s="3">
        <f t="shared" ca="1" si="1"/>
        <v>49</v>
      </c>
      <c r="C33" s="3">
        <f t="shared" ca="1" si="2"/>
        <v>25</v>
      </c>
      <c r="D33" s="3">
        <f t="shared" ca="1" si="3"/>
        <v>2398.2400000000002</v>
      </c>
      <c r="E33" s="22">
        <f t="shared" ca="1" si="4"/>
        <v>8758.4954619344262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1:16" x14ac:dyDescent="0.25">
      <c r="A34" s="21">
        <f t="shared" ca="1" si="0"/>
        <v>182</v>
      </c>
      <c r="B34" s="3">
        <f t="shared" ca="1" si="1"/>
        <v>46</v>
      </c>
      <c r="C34" s="3">
        <f t="shared" ca="1" si="2"/>
        <v>30</v>
      </c>
      <c r="D34" s="3">
        <f t="shared" ca="1" si="3"/>
        <v>1857.1200000000001</v>
      </c>
      <c r="E34" s="22">
        <f t="shared" ca="1" si="4"/>
        <v>6502.0978716058944</v>
      </c>
      <c r="G34"/>
      <c r="H34"/>
      <c r="I34"/>
      <c r="J34"/>
      <c r="K34"/>
      <c r="L34"/>
      <c r="M34"/>
      <c r="N34"/>
      <c r="O34"/>
      <c r="P34"/>
    </row>
    <row r="35" spans="1:16" x14ac:dyDescent="0.25">
      <c r="A35" s="21">
        <f t="shared" ca="1" si="0"/>
        <v>222</v>
      </c>
      <c r="B35" s="3">
        <f t="shared" ca="1" si="1"/>
        <v>49</v>
      </c>
      <c r="C35" s="3">
        <f t="shared" ca="1" si="2"/>
        <v>26</v>
      </c>
      <c r="D35" s="3">
        <f t="shared" ca="1" si="3"/>
        <v>3524.56</v>
      </c>
      <c r="E35" s="22">
        <f t="shared" ca="1" si="4"/>
        <v>13455.098311466565</v>
      </c>
      <c r="G35"/>
      <c r="H35"/>
      <c r="I35"/>
      <c r="J35"/>
      <c r="K35"/>
      <c r="L35"/>
      <c r="M35"/>
      <c r="N35"/>
      <c r="O35"/>
      <c r="P35"/>
    </row>
    <row r="36" spans="1:16" x14ac:dyDescent="0.25">
      <c r="A36" s="21">
        <f t="shared" ca="1" si="0"/>
        <v>296</v>
      </c>
      <c r="B36" s="3">
        <f t="shared" ca="1" si="1"/>
        <v>49</v>
      </c>
      <c r="C36" s="3">
        <f t="shared" ca="1" si="2"/>
        <v>30</v>
      </c>
      <c r="D36" s="3">
        <f t="shared" ca="1" si="3"/>
        <v>3918.2400000000002</v>
      </c>
      <c r="E36" s="22">
        <f t="shared" ca="1" si="4"/>
        <v>15096.690940385357</v>
      </c>
      <c r="G36"/>
      <c r="H36"/>
      <c r="I36"/>
      <c r="J36"/>
      <c r="K36"/>
      <c r="L36"/>
      <c r="M36"/>
      <c r="N36"/>
      <c r="O36"/>
      <c r="P36"/>
    </row>
    <row r="37" spans="1:16" x14ac:dyDescent="0.25">
      <c r="A37" s="21">
        <f t="shared" ca="1" si="0"/>
        <v>183</v>
      </c>
      <c r="B37" s="3">
        <f t="shared" ca="1" si="1"/>
        <v>43</v>
      </c>
      <c r="C37" s="3">
        <f t="shared" ca="1" si="2"/>
        <v>33</v>
      </c>
      <c r="D37" s="3">
        <f t="shared" ca="1" si="3"/>
        <v>1034.8</v>
      </c>
      <c r="E37" s="22">
        <f t="shared" ca="1" si="4"/>
        <v>3073.1341177639415</v>
      </c>
      <c r="G37"/>
      <c r="H37"/>
      <c r="I37"/>
      <c r="J37"/>
      <c r="K37"/>
      <c r="L37"/>
      <c r="M37"/>
      <c r="N37"/>
      <c r="O37"/>
      <c r="P37"/>
    </row>
    <row r="38" spans="1:16" x14ac:dyDescent="0.25">
      <c r="A38" s="21">
        <f t="shared" ca="1" si="0"/>
        <v>245</v>
      </c>
      <c r="B38" s="3">
        <f t="shared" ca="1" si="1"/>
        <v>45</v>
      </c>
      <c r="C38" s="3">
        <f t="shared" ca="1" si="2"/>
        <v>28</v>
      </c>
      <c r="D38" s="3">
        <f t="shared" ca="1" si="3"/>
        <v>2809.4</v>
      </c>
      <c r="E38" s="22">
        <f t="shared" ca="1" si="4"/>
        <v>10472.977338855404</v>
      </c>
      <c r="G38"/>
      <c r="H38"/>
      <c r="I38"/>
      <c r="J38"/>
      <c r="K38"/>
      <c r="L38"/>
      <c r="M38"/>
      <c r="N38"/>
      <c r="O38"/>
      <c r="P38"/>
    </row>
    <row r="39" spans="1:16" x14ac:dyDescent="0.25">
      <c r="A39" s="21">
        <f t="shared" ca="1" si="0"/>
        <v>249</v>
      </c>
      <c r="B39" s="3">
        <f t="shared" ca="1" si="1"/>
        <v>45</v>
      </c>
      <c r="C39" s="3">
        <f t="shared" ca="1" si="2"/>
        <v>25</v>
      </c>
      <c r="D39" s="3">
        <f t="shared" ca="1" si="3"/>
        <v>3428.8</v>
      </c>
      <c r="E39" s="22">
        <f t="shared" ca="1" si="4"/>
        <v>13055.791996324157</v>
      </c>
      <c r="G39"/>
      <c r="H39"/>
      <c r="I39"/>
      <c r="J39"/>
      <c r="K39"/>
      <c r="L39"/>
      <c r="M39"/>
      <c r="N39"/>
      <c r="O39"/>
      <c r="P39"/>
    </row>
    <row r="40" spans="1:16" x14ac:dyDescent="0.25">
      <c r="A40" s="21">
        <f t="shared" ca="1" si="0"/>
        <v>169</v>
      </c>
      <c r="B40" s="3">
        <f t="shared" ca="1" si="1"/>
        <v>49</v>
      </c>
      <c r="C40" s="3">
        <f t="shared" ca="1" si="2"/>
        <v>31</v>
      </c>
      <c r="D40" s="3">
        <f t="shared" ca="1" si="3"/>
        <v>1955.92</v>
      </c>
      <c r="E40" s="22">
        <f t="shared" ca="1" si="4"/>
        <v>6914.0805777052055</v>
      </c>
      <c r="G40"/>
      <c r="H40"/>
      <c r="I40"/>
      <c r="J40"/>
      <c r="K40"/>
      <c r="L40"/>
      <c r="M40"/>
      <c r="N40"/>
      <c r="O40"/>
      <c r="P40"/>
    </row>
    <row r="41" spans="1:16" x14ac:dyDescent="0.25">
      <c r="A41" s="21">
        <f t="shared" ca="1" si="0"/>
        <v>260</v>
      </c>
      <c r="B41" s="3">
        <f t="shared" ca="1" si="1"/>
        <v>44</v>
      </c>
      <c r="C41" s="3">
        <f t="shared" ca="1" si="2"/>
        <v>34</v>
      </c>
      <c r="D41" s="3">
        <f t="shared" ca="1" si="3"/>
        <v>1620</v>
      </c>
      <c r="E41" s="22">
        <f t="shared" ca="1" si="4"/>
        <v>5513.3393769675495</v>
      </c>
      <c r="G41"/>
      <c r="H41"/>
      <c r="I41"/>
      <c r="J41"/>
      <c r="K41"/>
      <c r="L41"/>
      <c r="M41"/>
      <c r="N41"/>
      <c r="O41"/>
      <c r="P41"/>
    </row>
    <row r="42" spans="1:16" x14ac:dyDescent="0.25">
      <c r="A42" s="21">
        <f t="shared" ca="1" si="0"/>
        <v>237</v>
      </c>
      <c r="B42" s="3">
        <f t="shared" ca="1" si="1"/>
        <v>50</v>
      </c>
      <c r="C42" s="3">
        <f t="shared" ca="1" si="2"/>
        <v>25</v>
      </c>
      <c r="D42" s="3">
        <f t="shared" ca="1" si="3"/>
        <v>4147</v>
      </c>
      <c r="E42" s="22">
        <f t="shared" ca="1" si="4"/>
        <v>16050.589359892221</v>
      </c>
      <c r="G42"/>
      <c r="H42"/>
      <c r="I42"/>
      <c r="J42"/>
      <c r="K42"/>
      <c r="L42"/>
      <c r="M42"/>
      <c r="N42"/>
      <c r="O42"/>
      <c r="P42"/>
    </row>
    <row r="43" spans="1:16" x14ac:dyDescent="0.25">
      <c r="A43" s="21">
        <f t="shared" ca="1" si="0"/>
        <v>277</v>
      </c>
      <c r="B43" s="3">
        <f t="shared" ca="1" si="1"/>
        <v>51</v>
      </c>
      <c r="C43" s="3">
        <f t="shared" ca="1" si="2"/>
        <v>29</v>
      </c>
      <c r="D43" s="3">
        <f t="shared" ca="1" si="3"/>
        <v>4275.4399999999996</v>
      </c>
      <c r="E43" s="22">
        <f t="shared" ca="1" si="4"/>
        <v>16586.166877821324</v>
      </c>
      <c r="G43"/>
      <c r="H43"/>
      <c r="I43"/>
      <c r="J43"/>
      <c r="K43"/>
      <c r="L43"/>
      <c r="M43"/>
      <c r="N43"/>
      <c r="O43"/>
      <c r="P43"/>
    </row>
    <row r="44" spans="1:16" x14ac:dyDescent="0.25">
      <c r="A44" s="21">
        <f t="shared" ca="1" si="0"/>
        <v>189</v>
      </c>
      <c r="B44" s="3">
        <f t="shared" ca="1" si="1"/>
        <v>40</v>
      </c>
      <c r="C44" s="3">
        <f t="shared" ca="1" si="2"/>
        <v>29</v>
      </c>
      <c r="D44" s="3">
        <f t="shared" ca="1" si="3"/>
        <v>1224.04</v>
      </c>
      <c r="E44" s="22">
        <f t="shared" ca="1" si="4"/>
        <v>3862.2394548310822</v>
      </c>
      <c r="G44"/>
      <c r="H44"/>
      <c r="I44"/>
      <c r="J44"/>
      <c r="K44"/>
      <c r="L44"/>
      <c r="M44"/>
      <c r="N44"/>
      <c r="O44"/>
      <c r="P44"/>
    </row>
    <row r="45" spans="1:16" x14ac:dyDescent="0.25">
      <c r="A45" s="21">
        <f t="shared" ca="1" si="0"/>
        <v>251</v>
      </c>
      <c r="B45" s="3">
        <f t="shared" ca="1" si="1"/>
        <v>51</v>
      </c>
      <c r="C45" s="3">
        <f t="shared" ca="1" si="2"/>
        <v>26</v>
      </c>
      <c r="D45" s="3">
        <f t="shared" ca="1" si="3"/>
        <v>4413</v>
      </c>
      <c r="E45" s="22">
        <f t="shared" ca="1" si="4"/>
        <v>17159.773568621134</v>
      </c>
      <c r="G45"/>
      <c r="H45"/>
      <c r="I45"/>
      <c r="J45"/>
      <c r="K45"/>
      <c r="L45"/>
      <c r="M45"/>
      <c r="N45"/>
      <c r="O45"/>
      <c r="P45"/>
    </row>
    <row r="46" spans="1:16" x14ac:dyDescent="0.25">
      <c r="A46" s="21">
        <f t="shared" ca="1" si="0"/>
        <v>227</v>
      </c>
      <c r="B46" s="3">
        <f t="shared" ca="1" si="1"/>
        <v>55</v>
      </c>
      <c r="C46" s="3">
        <f t="shared" ca="1" si="2"/>
        <v>25</v>
      </c>
      <c r="D46" s="3">
        <f t="shared" ca="1" si="3"/>
        <v>4819.6000000000004</v>
      </c>
      <c r="E46" s="22">
        <f t="shared" ca="1" si="4"/>
        <v>18855.240859106758</v>
      </c>
      <c r="G46"/>
      <c r="H46"/>
      <c r="I46"/>
      <c r="J46"/>
      <c r="K46"/>
      <c r="L46"/>
      <c r="M46"/>
      <c r="N46"/>
      <c r="O46"/>
      <c r="P46"/>
    </row>
    <row r="47" spans="1:16" ht="15.75" thickBot="1" x14ac:dyDescent="0.3">
      <c r="A47" s="21">
        <f t="shared" ca="1" si="0"/>
        <v>191</v>
      </c>
      <c r="B47" s="3">
        <f t="shared" ca="1" si="1"/>
        <v>54</v>
      </c>
      <c r="C47" s="3">
        <f t="shared" ca="1" si="2"/>
        <v>31</v>
      </c>
      <c r="D47" s="3">
        <f t="shared" ca="1" si="3"/>
        <v>2982.68</v>
      </c>
      <c r="E47" s="22">
        <f t="shared" ca="1" si="4"/>
        <v>11195.531623398807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</row>
    <row r="48" spans="1:16" x14ac:dyDescent="0.25">
      <c r="A48" s="21">
        <f t="shared" ca="1" si="0"/>
        <v>250</v>
      </c>
      <c r="B48" s="3">
        <f t="shared" ca="1" si="1"/>
        <v>50</v>
      </c>
      <c r="C48" s="3">
        <f t="shared" ca="1" si="2"/>
        <v>33</v>
      </c>
      <c r="D48" s="3">
        <f t="shared" ca="1" si="3"/>
        <v>2874</v>
      </c>
      <c r="E48" s="22">
        <f t="shared" ca="1" si="4"/>
        <v>10742.350646689565</v>
      </c>
    </row>
    <row r="49" spans="1:12" x14ac:dyDescent="0.25">
      <c r="A49" s="21">
        <f t="shared" ca="1" si="0"/>
        <v>295</v>
      </c>
      <c r="B49" s="3">
        <f t="shared" ca="1" si="1"/>
        <v>48</v>
      </c>
      <c r="C49" s="3">
        <f t="shared" ca="1" si="2"/>
        <v>33</v>
      </c>
      <c r="D49" s="3">
        <f t="shared" ca="1" si="3"/>
        <v>3007</v>
      </c>
      <c r="E49" s="22">
        <f t="shared" ca="1" si="4"/>
        <v>11296.942751054024</v>
      </c>
    </row>
    <row r="50" spans="1:12" x14ac:dyDescent="0.25">
      <c r="A50" s="21">
        <f t="shared" ca="1" si="0"/>
        <v>282</v>
      </c>
      <c r="B50" s="3">
        <f t="shared" ca="1" si="1"/>
        <v>50</v>
      </c>
      <c r="C50" s="3">
        <f t="shared" ca="1" si="2"/>
        <v>33</v>
      </c>
      <c r="D50" s="3">
        <f t="shared" ca="1" si="3"/>
        <v>3287.44</v>
      </c>
      <c r="E50" s="22">
        <f t="shared" ca="1" si="4"/>
        <v>12466.33981682822</v>
      </c>
    </row>
    <row r="51" spans="1:12" ht="15.75" thickBot="1" x14ac:dyDescent="0.3">
      <c r="A51" s="21">
        <f t="shared" ca="1" si="0"/>
        <v>223</v>
      </c>
      <c r="B51" s="3">
        <f t="shared" ca="1" si="1"/>
        <v>40</v>
      </c>
      <c r="C51" s="3">
        <f t="shared" ca="1" si="2"/>
        <v>26</v>
      </c>
      <c r="D51" s="3">
        <f t="shared" ca="1" si="3"/>
        <v>2016.72</v>
      </c>
      <c r="E51" s="22">
        <f t="shared" ca="1" si="4"/>
        <v>7167.6083968432431</v>
      </c>
    </row>
    <row r="52" spans="1:12" x14ac:dyDescent="0.25">
      <c r="A52" s="21">
        <f t="shared" ca="1" si="0"/>
        <v>257</v>
      </c>
      <c r="B52" s="3">
        <f t="shared" ca="1" si="1"/>
        <v>53</v>
      </c>
      <c r="C52" s="3">
        <f t="shared" ca="1" si="2"/>
        <v>26</v>
      </c>
      <c r="D52" s="3">
        <f t="shared" ca="1" si="3"/>
        <v>4917.6400000000003</v>
      </c>
      <c r="E52" s="22">
        <f t="shared" ca="1" si="4"/>
        <v>19264.054467466842</v>
      </c>
      <c r="G52" s="52"/>
      <c r="H52" s="52"/>
      <c r="I52" s="52"/>
      <c r="J52" s="52"/>
      <c r="K52" s="52"/>
      <c r="L52" s="52"/>
    </row>
    <row r="53" spans="1:12" x14ac:dyDescent="0.25">
      <c r="A53" s="21">
        <f t="shared" ca="1" si="0"/>
        <v>255</v>
      </c>
      <c r="B53" s="3">
        <f t="shared" ca="1" si="1"/>
        <v>45</v>
      </c>
      <c r="C53" s="3">
        <f t="shared" ca="1" si="2"/>
        <v>34</v>
      </c>
      <c r="D53" s="3">
        <f t="shared" ca="1" si="3"/>
        <v>1775.8</v>
      </c>
      <c r="E53" s="22">
        <f t="shared" ca="1" si="4"/>
        <v>6163.0044135087692</v>
      </c>
      <c r="G53"/>
      <c r="H53"/>
      <c r="I53"/>
      <c r="J53"/>
      <c r="K53"/>
      <c r="L53"/>
    </row>
    <row r="54" spans="1:12" x14ac:dyDescent="0.25">
      <c r="A54" s="21">
        <f t="shared" ca="1" si="0"/>
        <v>221</v>
      </c>
      <c r="B54" s="3">
        <f t="shared" ca="1" si="1"/>
        <v>49</v>
      </c>
      <c r="C54" s="3">
        <f t="shared" ca="1" si="2"/>
        <v>28</v>
      </c>
      <c r="D54" s="3">
        <f t="shared" ca="1" si="3"/>
        <v>3171.16</v>
      </c>
      <c r="E54" s="22">
        <f t="shared" ca="1" si="4"/>
        <v>11981.467862726722</v>
      </c>
      <c r="G54"/>
      <c r="H54"/>
      <c r="I54"/>
      <c r="J54"/>
      <c r="K54"/>
      <c r="L54"/>
    </row>
    <row r="55" spans="1:12" x14ac:dyDescent="0.25">
      <c r="A55" s="21">
        <f t="shared" ca="1" si="0"/>
        <v>282</v>
      </c>
      <c r="B55" s="3">
        <f t="shared" ca="1" si="1"/>
        <v>42</v>
      </c>
      <c r="C55" s="3">
        <f t="shared" ca="1" si="2"/>
        <v>30</v>
      </c>
      <c r="D55" s="3">
        <f t="shared" ca="1" si="3"/>
        <v>2215.84</v>
      </c>
      <c r="E55" s="22">
        <f t="shared" ca="1" si="4"/>
        <v>7997.9120045203144</v>
      </c>
      <c r="G55"/>
      <c r="H55"/>
      <c r="I55"/>
      <c r="J55"/>
      <c r="K55"/>
      <c r="L55"/>
    </row>
    <row r="56" spans="1:12" x14ac:dyDescent="0.25">
      <c r="A56" s="21">
        <f t="shared" ca="1" si="0"/>
        <v>167</v>
      </c>
      <c r="B56" s="3">
        <f t="shared" ca="1" si="1"/>
        <v>51</v>
      </c>
      <c r="C56" s="3">
        <f t="shared" ca="1" si="2"/>
        <v>31</v>
      </c>
      <c r="D56" s="3">
        <f t="shared" ca="1" si="3"/>
        <v>2182.4</v>
      </c>
      <c r="E56" s="22">
        <f t="shared" ca="1" si="4"/>
        <v>7858.4717039943935</v>
      </c>
      <c r="G56"/>
      <c r="H56"/>
      <c r="I56"/>
      <c r="J56"/>
      <c r="K56"/>
      <c r="L56"/>
    </row>
    <row r="57" spans="1:12" ht="15.75" thickBot="1" x14ac:dyDescent="0.3">
      <c r="A57" s="21">
        <f t="shared" ca="1" si="0"/>
        <v>241</v>
      </c>
      <c r="B57" s="3">
        <f t="shared" ca="1" si="1"/>
        <v>50</v>
      </c>
      <c r="C57" s="3">
        <f t="shared" ca="1" si="2"/>
        <v>32</v>
      </c>
      <c r="D57" s="3">
        <f t="shared" ca="1" si="3"/>
        <v>2940.88</v>
      </c>
      <c r="E57" s="22">
        <f t="shared" ca="1" si="4"/>
        <v>11021.231247741409</v>
      </c>
      <c r="G57" s="51"/>
      <c r="H57" s="51"/>
      <c r="I57" s="51"/>
      <c r="J57" s="51"/>
      <c r="K57" s="51"/>
      <c r="L57" s="51"/>
    </row>
    <row r="58" spans="1:12" x14ac:dyDescent="0.25">
      <c r="A58" s="21">
        <f t="shared" ca="1" si="0"/>
        <v>282</v>
      </c>
      <c r="B58" s="3">
        <f t="shared" ca="1" si="1"/>
        <v>47</v>
      </c>
      <c r="C58" s="3">
        <f t="shared" ca="1" si="2"/>
        <v>31</v>
      </c>
      <c r="D58" s="3">
        <f t="shared" ca="1" si="3"/>
        <v>3073.12</v>
      </c>
      <c r="E58" s="22">
        <f t="shared" ca="1" si="4"/>
        <v>11572.654254366638</v>
      </c>
    </row>
    <row r="59" spans="1:12" x14ac:dyDescent="0.25">
      <c r="A59" s="21">
        <f t="shared" ca="1" si="0"/>
        <v>291</v>
      </c>
      <c r="B59" s="3">
        <f t="shared" ca="1" si="1"/>
        <v>47</v>
      </c>
      <c r="C59" s="3">
        <f t="shared" ca="1" si="2"/>
        <v>32</v>
      </c>
      <c r="D59" s="3">
        <f t="shared" ca="1" si="3"/>
        <v>2961.4</v>
      </c>
      <c r="E59" s="22">
        <f t="shared" ca="1" si="4"/>
        <v>11106.796886700497</v>
      </c>
    </row>
    <row r="60" spans="1:12" x14ac:dyDescent="0.25">
      <c r="A60" s="21">
        <f t="shared" ca="1" si="0"/>
        <v>273</v>
      </c>
      <c r="B60" s="3">
        <f t="shared" ca="1" si="1"/>
        <v>51</v>
      </c>
      <c r="C60" s="3">
        <f t="shared" ca="1" si="2"/>
        <v>31</v>
      </c>
      <c r="D60" s="3">
        <f t="shared" ca="1" si="3"/>
        <v>3793.6</v>
      </c>
      <c r="E60" s="22">
        <f t="shared" ca="1" si="4"/>
        <v>14576.958911152378</v>
      </c>
    </row>
    <row r="61" spans="1:12" x14ac:dyDescent="0.25">
      <c r="A61" s="21">
        <f t="shared" ca="1" si="0"/>
        <v>150</v>
      </c>
      <c r="B61" s="3">
        <f t="shared" ca="1" si="1"/>
        <v>54</v>
      </c>
      <c r="C61" s="3">
        <f t="shared" ca="1" si="2"/>
        <v>27</v>
      </c>
      <c r="D61" s="3">
        <f t="shared" ca="1" si="3"/>
        <v>2722</v>
      </c>
      <c r="E61" s="22">
        <f t="shared" ca="1" si="4"/>
        <v>10108.531098844473</v>
      </c>
    </row>
    <row r="62" spans="1:12" x14ac:dyDescent="0.25">
      <c r="A62" s="21">
        <f t="shared" ca="1" si="0"/>
        <v>163</v>
      </c>
      <c r="B62" s="3">
        <f t="shared" ca="1" si="1"/>
        <v>44</v>
      </c>
      <c r="C62" s="3">
        <f t="shared" ca="1" si="2"/>
        <v>26</v>
      </c>
      <c r="D62" s="3">
        <f t="shared" ca="1" si="3"/>
        <v>1873.84</v>
      </c>
      <c r="E62" s="22">
        <f t="shared" ca="1" si="4"/>
        <v>6571.818021868854</v>
      </c>
    </row>
    <row r="63" spans="1:12" x14ac:dyDescent="0.25">
      <c r="A63" s="21">
        <f t="shared" ca="1" si="0"/>
        <v>225</v>
      </c>
      <c r="B63" s="3">
        <f t="shared" ca="1" si="1"/>
        <v>53</v>
      </c>
      <c r="C63" s="3">
        <f t="shared" ca="1" si="2"/>
        <v>28</v>
      </c>
      <c r="D63" s="3">
        <f t="shared" ca="1" si="3"/>
        <v>3919</v>
      </c>
      <c r="E63" s="22">
        <f t="shared" ca="1" si="4"/>
        <v>15099.860038124581</v>
      </c>
    </row>
    <row r="64" spans="1:12" x14ac:dyDescent="0.25">
      <c r="A64" s="21">
        <f t="shared" ca="1" si="0"/>
        <v>261</v>
      </c>
      <c r="B64" s="3">
        <f t="shared" ca="1" si="1"/>
        <v>42</v>
      </c>
      <c r="C64" s="3">
        <f t="shared" ca="1" si="2"/>
        <v>33</v>
      </c>
      <c r="D64" s="3">
        <f t="shared" ca="1" si="3"/>
        <v>1429.24</v>
      </c>
      <c r="E64" s="22">
        <f t="shared" ca="1" si="4"/>
        <v>4717.8958444219579</v>
      </c>
    </row>
    <row r="65" spans="1:5" x14ac:dyDescent="0.25">
      <c r="A65" s="21">
        <f t="shared" ca="1" si="0"/>
        <v>289</v>
      </c>
      <c r="B65" s="3">
        <f t="shared" ca="1" si="1"/>
        <v>55</v>
      </c>
      <c r="C65" s="3">
        <f t="shared" ca="1" si="2"/>
        <v>35</v>
      </c>
      <c r="D65" s="3">
        <f t="shared" ca="1" si="3"/>
        <v>4036.8</v>
      </c>
      <c r="E65" s="22">
        <f t="shared" ca="1" si="4"/>
        <v>15591.070187704529</v>
      </c>
    </row>
    <row r="66" spans="1:5" x14ac:dyDescent="0.25">
      <c r="A66" s="21">
        <f t="shared" ref="A66:A129" ca="1" si="5">RANDBETWEEN(150,300)</f>
        <v>203</v>
      </c>
      <c r="B66" s="3">
        <f t="shared" ref="B66:B129" ca="1" si="6">RANDBETWEEN(40,55)</f>
        <v>54</v>
      </c>
      <c r="C66" s="3">
        <f t="shared" ref="C66:C129" ca="1" si="7">RANDBETWEEN(25,35)</f>
        <v>25</v>
      </c>
      <c r="D66" s="3">
        <f t="shared" ca="1" si="3"/>
        <v>4118.12</v>
      </c>
      <c r="E66" s="22">
        <f t="shared" ca="1" si="4"/>
        <v>15930.163645801651</v>
      </c>
    </row>
    <row r="67" spans="1:5" x14ac:dyDescent="0.25">
      <c r="A67" s="21">
        <f t="shared" ca="1" si="5"/>
        <v>286</v>
      </c>
      <c r="B67" s="3">
        <f t="shared" ca="1" si="6"/>
        <v>52</v>
      </c>
      <c r="C67" s="3">
        <f t="shared" ca="1" si="7"/>
        <v>29</v>
      </c>
      <c r="D67" s="3">
        <f t="shared" ref="D67:D130" ca="1" si="8">(A67*(B67-C67)-$N$1-$N$2)*(1-$N$3)+$N$2</f>
        <v>4643.28</v>
      </c>
      <c r="E67" s="22">
        <f t="shared" ref="E67:E130" ca="1" si="9">PV($N$4,$N$5,-D67,$N$6,1)</f>
        <v>18120.010183606446</v>
      </c>
    </row>
    <row r="68" spans="1:5" x14ac:dyDescent="0.25">
      <c r="A68" s="21">
        <f t="shared" ca="1" si="5"/>
        <v>246</v>
      </c>
      <c r="B68" s="3">
        <f t="shared" ca="1" si="6"/>
        <v>50</v>
      </c>
      <c r="C68" s="3">
        <f t="shared" ca="1" si="7"/>
        <v>29</v>
      </c>
      <c r="D68" s="3">
        <f t="shared" ca="1" si="8"/>
        <v>3570.16</v>
      </c>
      <c r="E68" s="22">
        <f t="shared" ca="1" si="9"/>
        <v>13645.244175820091</v>
      </c>
    </row>
    <row r="69" spans="1:5" x14ac:dyDescent="0.25">
      <c r="A69" s="21">
        <f t="shared" ca="1" si="5"/>
        <v>278</v>
      </c>
      <c r="B69" s="3">
        <f t="shared" ca="1" si="6"/>
        <v>54</v>
      </c>
      <c r="C69" s="3">
        <f t="shared" ca="1" si="7"/>
        <v>25</v>
      </c>
      <c r="D69" s="3">
        <f t="shared" ca="1" si="8"/>
        <v>5771.12</v>
      </c>
      <c r="E69" s="22">
        <f t="shared" ca="1" si="9"/>
        <v>22822.951228617039</v>
      </c>
    </row>
    <row r="70" spans="1:5" x14ac:dyDescent="0.25">
      <c r="A70" s="21">
        <f t="shared" ca="1" si="5"/>
        <v>214</v>
      </c>
      <c r="B70" s="3">
        <f t="shared" ca="1" si="6"/>
        <v>46</v>
      </c>
      <c r="C70" s="3">
        <f t="shared" ca="1" si="7"/>
        <v>33</v>
      </c>
      <c r="D70" s="3">
        <f t="shared" ca="1" si="8"/>
        <v>1758.32</v>
      </c>
      <c r="E70" s="22">
        <f t="shared" ca="1" si="9"/>
        <v>6090.1151655065833</v>
      </c>
    </row>
    <row r="71" spans="1:5" x14ac:dyDescent="0.25">
      <c r="A71" s="21">
        <f t="shared" ca="1" si="5"/>
        <v>179</v>
      </c>
      <c r="B71" s="3">
        <f t="shared" ca="1" si="6"/>
        <v>52</v>
      </c>
      <c r="C71" s="3">
        <f t="shared" ca="1" si="7"/>
        <v>32</v>
      </c>
      <c r="D71" s="3">
        <f t="shared" ca="1" si="8"/>
        <v>2364.8000000000002</v>
      </c>
      <c r="E71" s="22">
        <f t="shared" ca="1" si="9"/>
        <v>8619.0551614085052</v>
      </c>
    </row>
    <row r="72" spans="1:5" x14ac:dyDescent="0.25">
      <c r="A72" s="21">
        <f t="shared" ca="1" si="5"/>
        <v>253</v>
      </c>
      <c r="B72" s="3">
        <f t="shared" ca="1" si="6"/>
        <v>52</v>
      </c>
      <c r="C72" s="3">
        <f t="shared" ca="1" si="7"/>
        <v>29</v>
      </c>
      <c r="D72" s="3">
        <f t="shared" ca="1" si="8"/>
        <v>4066.44</v>
      </c>
      <c r="E72" s="22">
        <f t="shared" ca="1" si="9"/>
        <v>15714.664999534321</v>
      </c>
    </row>
    <row r="73" spans="1:5" x14ac:dyDescent="0.25">
      <c r="A73" s="21">
        <f t="shared" ca="1" si="5"/>
        <v>208</v>
      </c>
      <c r="B73" s="3">
        <f t="shared" ca="1" si="6"/>
        <v>42</v>
      </c>
      <c r="C73" s="3">
        <f t="shared" ca="1" si="7"/>
        <v>31</v>
      </c>
      <c r="D73" s="3">
        <f t="shared" ca="1" si="8"/>
        <v>1382.88</v>
      </c>
      <c r="E73" s="22">
        <f t="shared" ca="1" si="9"/>
        <v>4524.5808823292055</v>
      </c>
    </row>
    <row r="74" spans="1:5" x14ac:dyDescent="0.25">
      <c r="A74" s="21">
        <f t="shared" ca="1" si="5"/>
        <v>158</v>
      </c>
      <c r="B74" s="3">
        <f t="shared" ca="1" si="6"/>
        <v>42</v>
      </c>
      <c r="C74" s="3">
        <f t="shared" ca="1" si="7"/>
        <v>32</v>
      </c>
      <c r="D74" s="3">
        <f t="shared" ca="1" si="8"/>
        <v>844.8</v>
      </c>
      <c r="E74" s="22">
        <f t="shared" ca="1" si="9"/>
        <v>2280.8596829575749</v>
      </c>
    </row>
    <row r="75" spans="1:5" x14ac:dyDescent="0.25">
      <c r="A75" s="21">
        <f t="shared" ca="1" si="5"/>
        <v>226</v>
      </c>
      <c r="B75" s="3">
        <f t="shared" ca="1" si="6"/>
        <v>43</v>
      </c>
      <c r="C75" s="3">
        <f t="shared" ca="1" si="7"/>
        <v>32</v>
      </c>
      <c r="D75" s="3">
        <f t="shared" ca="1" si="8"/>
        <v>1533.3600000000001</v>
      </c>
      <c r="E75" s="22">
        <f t="shared" ca="1" si="9"/>
        <v>5152.0622346958471</v>
      </c>
    </row>
    <row r="76" spans="1:5" x14ac:dyDescent="0.25">
      <c r="A76" s="21">
        <f t="shared" ca="1" si="5"/>
        <v>251</v>
      </c>
      <c r="B76" s="3">
        <f t="shared" ca="1" si="6"/>
        <v>52</v>
      </c>
      <c r="C76" s="3">
        <f t="shared" ca="1" si="7"/>
        <v>25</v>
      </c>
      <c r="D76" s="3">
        <f t="shared" ca="1" si="8"/>
        <v>4794.5200000000004</v>
      </c>
      <c r="E76" s="22">
        <f t="shared" ca="1" si="9"/>
        <v>18750.660633712319</v>
      </c>
    </row>
    <row r="77" spans="1:5" x14ac:dyDescent="0.25">
      <c r="A77" s="21">
        <f t="shared" ca="1" si="5"/>
        <v>164</v>
      </c>
      <c r="B77" s="3">
        <f t="shared" ca="1" si="6"/>
        <v>55</v>
      </c>
      <c r="C77" s="3">
        <f t="shared" ca="1" si="7"/>
        <v>27</v>
      </c>
      <c r="D77" s="3">
        <f t="shared" ca="1" si="8"/>
        <v>3133.92</v>
      </c>
      <c r="E77" s="22">
        <f t="shared" ca="1" si="9"/>
        <v>11826.182073504677</v>
      </c>
    </row>
    <row r="78" spans="1:5" x14ac:dyDescent="0.25">
      <c r="A78" s="21">
        <f t="shared" ca="1" si="5"/>
        <v>260</v>
      </c>
      <c r="B78" s="3">
        <f t="shared" ca="1" si="6"/>
        <v>53</v>
      </c>
      <c r="C78" s="3">
        <f t="shared" ca="1" si="7"/>
        <v>25</v>
      </c>
      <c r="D78" s="3">
        <f t="shared" ca="1" si="8"/>
        <v>5176.8</v>
      </c>
      <c r="E78" s="22">
        <f t="shared" ca="1" si="9"/>
        <v>20344.716796542725</v>
      </c>
    </row>
    <row r="79" spans="1:5" x14ac:dyDescent="0.25">
      <c r="A79" s="21">
        <f t="shared" ca="1" si="5"/>
        <v>224</v>
      </c>
      <c r="B79" s="3">
        <f t="shared" ca="1" si="6"/>
        <v>55</v>
      </c>
      <c r="C79" s="3">
        <f t="shared" ca="1" si="7"/>
        <v>30</v>
      </c>
      <c r="D79" s="3">
        <f t="shared" ca="1" si="8"/>
        <v>3900</v>
      </c>
      <c r="E79" s="22">
        <f t="shared" ca="1" si="9"/>
        <v>15020.632594643945</v>
      </c>
    </row>
    <row r="80" spans="1:5" x14ac:dyDescent="0.25">
      <c r="A80" s="21">
        <f t="shared" ca="1" si="5"/>
        <v>235</v>
      </c>
      <c r="B80" s="3">
        <f t="shared" ca="1" si="6"/>
        <v>55</v>
      </c>
      <c r="C80" s="3">
        <f t="shared" ca="1" si="7"/>
        <v>30</v>
      </c>
      <c r="D80" s="3">
        <f t="shared" ca="1" si="8"/>
        <v>4109</v>
      </c>
      <c r="E80" s="22">
        <f t="shared" ca="1" si="9"/>
        <v>15892.134472930948</v>
      </c>
    </row>
    <row r="81" spans="1:5" x14ac:dyDescent="0.25">
      <c r="A81" s="21">
        <f t="shared" ca="1" si="5"/>
        <v>258</v>
      </c>
      <c r="B81" s="3">
        <f t="shared" ca="1" si="6"/>
        <v>47</v>
      </c>
      <c r="C81" s="3">
        <f t="shared" ca="1" si="7"/>
        <v>31</v>
      </c>
      <c r="D81" s="3">
        <f t="shared" ca="1" si="8"/>
        <v>2781.28</v>
      </c>
      <c r="E81" s="22">
        <f t="shared" ca="1" si="9"/>
        <v>10355.72072250406</v>
      </c>
    </row>
    <row r="82" spans="1:5" x14ac:dyDescent="0.25">
      <c r="A82" s="21">
        <f t="shared" ca="1" si="5"/>
        <v>265</v>
      </c>
      <c r="B82" s="3">
        <f t="shared" ca="1" si="6"/>
        <v>52</v>
      </c>
      <c r="C82" s="3">
        <f t="shared" ca="1" si="7"/>
        <v>34</v>
      </c>
      <c r="D82" s="3">
        <f t="shared" ca="1" si="8"/>
        <v>3269.2</v>
      </c>
      <c r="E82" s="22">
        <f t="shared" ca="1" si="9"/>
        <v>12390.281471086808</v>
      </c>
    </row>
    <row r="83" spans="1:5" x14ac:dyDescent="0.25">
      <c r="A83" s="21">
        <f t="shared" ca="1" si="5"/>
        <v>204</v>
      </c>
      <c r="B83" s="3">
        <f t="shared" ca="1" si="6"/>
        <v>40</v>
      </c>
      <c r="C83" s="3">
        <f t="shared" ca="1" si="7"/>
        <v>34</v>
      </c>
      <c r="D83" s="3">
        <f t="shared" ca="1" si="8"/>
        <v>574.24</v>
      </c>
      <c r="E83" s="22">
        <f t="shared" ca="1" si="9"/>
        <v>1152.6608877933097</v>
      </c>
    </row>
    <row r="84" spans="1:5" x14ac:dyDescent="0.25">
      <c r="A84" s="21">
        <f t="shared" ca="1" si="5"/>
        <v>244</v>
      </c>
      <c r="B84" s="3">
        <f t="shared" ca="1" si="6"/>
        <v>50</v>
      </c>
      <c r="C84" s="3">
        <f t="shared" ca="1" si="7"/>
        <v>35</v>
      </c>
      <c r="D84" s="3">
        <f t="shared" ca="1" si="8"/>
        <v>2425.6</v>
      </c>
      <c r="E84" s="22">
        <f t="shared" ca="1" si="9"/>
        <v>8872.5829805465419</v>
      </c>
    </row>
    <row r="85" spans="1:5" x14ac:dyDescent="0.25">
      <c r="A85" s="21">
        <f t="shared" ca="1" si="5"/>
        <v>257</v>
      </c>
      <c r="B85" s="3">
        <f t="shared" ca="1" si="6"/>
        <v>41</v>
      </c>
      <c r="C85" s="3">
        <f t="shared" ca="1" si="7"/>
        <v>29</v>
      </c>
      <c r="D85" s="3">
        <f t="shared" ca="1" si="8"/>
        <v>1987.84</v>
      </c>
      <c r="E85" s="22">
        <f t="shared" ca="1" si="9"/>
        <v>7047.1826827526738</v>
      </c>
    </row>
    <row r="86" spans="1:5" x14ac:dyDescent="0.25">
      <c r="A86" s="21">
        <f t="shared" ca="1" si="5"/>
        <v>191</v>
      </c>
      <c r="B86" s="3">
        <f t="shared" ca="1" si="6"/>
        <v>45</v>
      </c>
      <c r="C86" s="3">
        <f t="shared" ca="1" si="7"/>
        <v>34</v>
      </c>
      <c r="D86" s="3">
        <f t="shared" ca="1" si="8"/>
        <v>1240.76</v>
      </c>
      <c r="E86" s="22">
        <f t="shared" ca="1" si="9"/>
        <v>3931.9596050940427</v>
      </c>
    </row>
    <row r="87" spans="1:5" x14ac:dyDescent="0.25">
      <c r="A87" s="21">
        <f t="shared" ca="1" si="5"/>
        <v>280</v>
      </c>
      <c r="B87" s="3">
        <f t="shared" ca="1" si="6"/>
        <v>40</v>
      </c>
      <c r="C87" s="3">
        <f t="shared" ca="1" si="7"/>
        <v>28</v>
      </c>
      <c r="D87" s="3">
        <f t="shared" ca="1" si="8"/>
        <v>2197.6</v>
      </c>
      <c r="E87" s="22">
        <f t="shared" ca="1" si="9"/>
        <v>7921.8536587789022</v>
      </c>
    </row>
    <row r="88" spans="1:5" x14ac:dyDescent="0.25">
      <c r="A88" s="21">
        <f t="shared" ca="1" si="5"/>
        <v>234</v>
      </c>
      <c r="B88" s="3">
        <f t="shared" ca="1" si="6"/>
        <v>46</v>
      </c>
      <c r="C88" s="3">
        <f t="shared" ca="1" si="7"/>
        <v>31</v>
      </c>
      <c r="D88" s="3">
        <f t="shared" ca="1" si="8"/>
        <v>2311.6</v>
      </c>
      <c r="E88" s="22">
        <f t="shared" ca="1" si="9"/>
        <v>8397.2183196627211</v>
      </c>
    </row>
    <row r="89" spans="1:5" x14ac:dyDescent="0.25">
      <c r="A89" s="21">
        <f t="shared" ca="1" si="5"/>
        <v>277</v>
      </c>
      <c r="B89" s="3">
        <f t="shared" ca="1" si="6"/>
        <v>45</v>
      </c>
      <c r="C89" s="3">
        <f t="shared" ca="1" si="7"/>
        <v>33</v>
      </c>
      <c r="D89" s="3">
        <f t="shared" ca="1" si="8"/>
        <v>2170.2400000000002</v>
      </c>
      <c r="E89" s="22">
        <f t="shared" ca="1" si="9"/>
        <v>7807.7661401667874</v>
      </c>
    </row>
    <row r="90" spans="1:5" x14ac:dyDescent="0.25">
      <c r="A90" s="21">
        <f t="shared" ca="1" si="5"/>
        <v>153</v>
      </c>
      <c r="B90" s="3">
        <f t="shared" ca="1" si="6"/>
        <v>50</v>
      </c>
      <c r="C90" s="3">
        <f t="shared" ca="1" si="7"/>
        <v>29</v>
      </c>
      <c r="D90" s="3">
        <f t="shared" ca="1" si="8"/>
        <v>2085.88</v>
      </c>
      <c r="E90" s="22">
        <f t="shared" ca="1" si="9"/>
        <v>7455.9962911127604</v>
      </c>
    </row>
    <row r="91" spans="1:5" x14ac:dyDescent="0.25">
      <c r="A91" s="21">
        <f t="shared" ca="1" si="5"/>
        <v>183</v>
      </c>
      <c r="B91" s="3">
        <f t="shared" ca="1" si="6"/>
        <v>50</v>
      </c>
      <c r="C91" s="3">
        <f t="shared" ca="1" si="7"/>
        <v>27</v>
      </c>
      <c r="D91" s="3">
        <f t="shared" ca="1" si="8"/>
        <v>2842.84</v>
      </c>
      <c r="E91" s="22">
        <f t="shared" ca="1" si="9"/>
        <v>10612.417639381323</v>
      </c>
    </row>
    <row r="92" spans="1:5" x14ac:dyDescent="0.25">
      <c r="A92" s="21">
        <f t="shared" ca="1" si="5"/>
        <v>254</v>
      </c>
      <c r="B92" s="3">
        <f t="shared" ca="1" si="6"/>
        <v>55</v>
      </c>
      <c r="C92" s="3">
        <f t="shared" ca="1" si="7"/>
        <v>26</v>
      </c>
      <c r="D92" s="3">
        <f t="shared" ca="1" si="8"/>
        <v>5242.16</v>
      </c>
      <c r="E92" s="22">
        <f t="shared" ca="1" si="9"/>
        <v>20617.259202116114</v>
      </c>
    </row>
    <row r="93" spans="1:5" x14ac:dyDescent="0.25">
      <c r="A93" s="21">
        <f t="shared" ca="1" si="5"/>
        <v>292</v>
      </c>
      <c r="B93" s="3">
        <f t="shared" ca="1" si="6"/>
        <v>51</v>
      </c>
      <c r="C93" s="3">
        <f t="shared" ca="1" si="7"/>
        <v>25</v>
      </c>
      <c r="D93" s="3">
        <f t="shared" ca="1" si="8"/>
        <v>5413.92</v>
      </c>
      <c r="E93" s="22">
        <f t="shared" ca="1" si="9"/>
        <v>21333.475291181068</v>
      </c>
    </row>
    <row r="94" spans="1:5" x14ac:dyDescent="0.25">
      <c r="A94" s="21">
        <f t="shared" ca="1" si="5"/>
        <v>195</v>
      </c>
      <c r="B94" s="3">
        <f t="shared" ca="1" si="6"/>
        <v>44</v>
      </c>
      <c r="C94" s="3">
        <f t="shared" ca="1" si="7"/>
        <v>34</v>
      </c>
      <c r="D94" s="3">
        <f t="shared" ca="1" si="8"/>
        <v>1126</v>
      </c>
      <c r="E94" s="22">
        <f t="shared" ca="1" si="9"/>
        <v>3453.4258464709974</v>
      </c>
    </row>
    <row r="95" spans="1:5" x14ac:dyDescent="0.25">
      <c r="A95" s="21">
        <f t="shared" ca="1" si="5"/>
        <v>292</v>
      </c>
      <c r="B95" s="3">
        <f t="shared" ca="1" si="6"/>
        <v>40</v>
      </c>
      <c r="C95" s="3">
        <f t="shared" ca="1" si="7"/>
        <v>30</v>
      </c>
      <c r="D95" s="3">
        <f t="shared" ca="1" si="8"/>
        <v>1863.2</v>
      </c>
      <c r="E95" s="22">
        <f t="shared" ca="1" si="9"/>
        <v>6527.4506535196988</v>
      </c>
    </row>
    <row r="96" spans="1:5" x14ac:dyDescent="0.25">
      <c r="A96" s="21">
        <f t="shared" ca="1" si="5"/>
        <v>228</v>
      </c>
      <c r="B96" s="3">
        <f t="shared" ca="1" si="6"/>
        <v>51</v>
      </c>
      <c r="C96" s="3">
        <f t="shared" ca="1" si="7"/>
        <v>29</v>
      </c>
      <c r="D96" s="3">
        <f t="shared" ca="1" si="8"/>
        <v>3456.16</v>
      </c>
      <c r="E96" s="22">
        <f t="shared" ca="1" si="9"/>
        <v>13169.879514936274</v>
      </c>
    </row>
    <row r="97" spans="1:5" x14ac:dyDescent="0.25">
      <c r="A97" s="21">
        <f t="shared" ca="1" si="5"/>
        <v>252</v>
      </c>
      <c r="B97" s="3">
        <f t="shared" ca="1" si="6"/>
        <v>53</v>
      </c>
      <c r="C97" s="3">
        <f t="shared" ca="1" si="7"/>
        <v>34</v>
      </c>
      <c r="D97" s="3">
        <f t="shared" ca="1" si="8"/>
        <v>3282.88</v>
      </c>
      <c r="E97" s="22">
        <f t="shared" ca="1" si="9"/>
        <v>12447.325230392868</v>
      </c>
    </row>
    <row r="98" spans="1:5" x14ac:dyDescent="0.25">
      <c r="A98" s="21">
        <f t="shared" ca="1" si="5"/>
        <v>171</v>
      </c>
      <c r="B98" s="3">
        <f t="shared" ca="1" si="6"/>
        <v>45</v>
      </c>
      <c r="C98" s="3">
        <f t="shared" ca="1" si="7"/>
        <v>34</v>
      </c>
      <c r="D98" s="3">
        <f t="shared" ca="1" si="8"/>
        <v>1073.56</v>
      </c>
      <c r="E98" s="22">
        <f t="shared" ca="1" si="9"/>
        <v>3234.7581024644401</v>
      </c>
    </row>
    <row r="99" spans="1:5" x14ac:dyDescent="0.25">
      <c r="A99" s="21">
        <f t="shared" ca="1" si="5"/>
        <v>294</v>
      </c>
      <c r="B99" s="3">
        <f t="shared" ca="1" si="6"/>
        <v>50</v>
      </c>
      <c r="C99" s="3">
        <f t="shared" ca="1" si="7"/>
        <v>28</v>
      </c>
      <c r="D99" s="3">
        <f t="shared" ca="1" si="8"/>
        <v>4559.68</v>
      </c>
      <c r="E99" s="22">
        <f t="shared" ca="1" si="9"/>
        <v>17771.40943229165</v>
      </c>
    </row>
    <row r="100" spans="1:5" x14ac:dyDescent="0.25">
      <c r="A100" s="21">
        <f t="shared" ca="1" si="5"/>
        <v>177</v>
      </c>
      <c r="B100" s="3">
        <f t="shared" ca="1" si="6"/>
        <v>52</v>
      </c>
      <c r="C100" s="3">
        <f t="shared" ca="1" si="7"/>
        <v>31</v>
      </c>
      <c r="D100" s="3">
        <f t="shared" ca="1" si="8"/>
        <v>2468.92</v>
      </c>
      <c r="E100" s="22">
        <f t="shared" ca="1" si="9"/>
        <v>9053.2215516823944</v>
      </c>
    </row>
    <row r="101" spans="1:5" x14ac:dyDescent="0.25">
      <c r="A101" s="21">
        <f t="shared" ca="1" si="5"/>
        <v>274</v>
      </c>
      <c r="B101" s="3">
        <f t="shared" ca="1" si="6"/>
        <v>52</v>
      </c>
      <c r="C101" s="3">
        <f t="shared" ca="1" si="7"/>
        <v>27</v>
      </c>
      <c r="D101" s="3">
        <f t="shared" ca="1" si="8"/>
        <v>4850</v>
      </c>
      <c r="E101" s="22">
        <f t="shared" ca="1" si="9"/>
        <v>18982.004768675775</v>
      </c>
    </row>
    <row r="102" spans="1:5" x14ac:dyDescent="0.25">
      <c r="A102" s="21">
        <f t="shared" ca="1" si="5"/>
        <v>201</v>
      </c>
      <c r="B102" s="3">
        <f t="shared" ca="1" si="6"/>
        <v>43</v>
      </c>
      <c r="C102" s="3">
        <f t="shared" ca="1" si="7"/>
        <v>26</v>
      </c>
      <c r="D102" s="3">
        <f t="shared" ca="1" si="8"/>
        <v>2240.92</v>
      </c>
      <c r="E102" s="22">
        <f t="shared" ca="1" si="9"/>
        <v>8102.4922299147547</v>
      </c>
    </row>
    <row r="103" spans="1:5" x14ac:dyDescent="0.25">
      <c r="A103" s="21">
        <f t="shared" ca="1" si="5"/>
        <v>157</v>
      </c>
      <c r="B103" s="3">
        <f t="shared" ca="1" si="6"/>
        <v>51</v>
      </c>
      <c r="C103" s="3">
        <f t="shared" ca="1" si="7"/>
        <v>35</v>
      </c>
      <c r="D103" s="3">
        <f t="shared" ca="1" si="8"/>
        <v>1553.1200000000001</v>
      </c>
      <c r="E103" s="22">
        <f t="shared" ca="1" si="9"/>
        <v>5234.4587759157093</v>
      </c>
    </row>
    <row r="104" spans="1:5" x14ac:dyDescent="0.25">
      <c r="A104" s="21">
        <f t="shared" ca="1" si="5"/>
        <v>291</v>
      </c>
      <c r="B104" s="3">
        <f t="shared" ca="1" si="6"/>
        <v>51</v>
      </c>
      <c r="C104" s="3">
        <f t="shared" ca="1" si="7"/>
        <v>34</v>
      </c>
      <c r="D104" s="3">
        <f t="shared" ca="1" si="8"/>
        <v>3403.7200000000003</v>
      </c>
      <c r="E104" s="22">
        <f t="shared" ca="1" si="9"/>
        <v>12951.211770929716</v>
      </c>
    </row>
    <row r="105" spans="1:5" x14ac:dyDescent="0.25">
      <c r="A105" s="21">
        <f t="shared" ca="1" si="5"/>
        <v>256</v>
      </c>
      <c r="B105" s="3">
        <f t="shared" ca="1" si="6"/>
        <v>50</v>
      </c>
      <c r="C105" s="3">
        <f t="shared" ca="1" si="7"/>
        <v>34</v>
      </c>
      <c r="D105" s="3">
        <f t="shared" ca="1" si="8"/>
        <v>2756.96</v>
      </c>
      <c r="E105" s="22">
        <f t="shared" ca="1" si="9"/>
        <v>10254.309594848844</v>
      </c>
    </row>
    <row r="106" spans="1:5" x14ac:dyDescent="0.25">
      <c r="A106" s="21">
        <f t="shared" ca="1" si="5"/>
        <v>298</v>
      </c>
      <c r="B106" s="3">
        <f t="shared" ca="1" si="6"/>
        <v>52</v>
      </c>
      <c r="C106" s="3">
        <f t="shared" ca="1" si="7"/>
        <v>30</v>
      </c>
      <c r="D106" s="3">
        <f t="shared" ca="1" si="8"/>
        <v>4626.5600000000004</v>
      </c>
      <c r="E106" s="22">
        <f t="shared" ca="1" si="9"/>
        <v>18050.290033343492</v>
      </c>
    </row>
    <row r="107" spans="1:5" x14ac:dyDescent="0.25">
      <c r="A107" s="21">
        <f t="shared" ca="1" si="5"/>
        <v>181</v>
      </c>
      <c r="B107" s="3">
        <f t="shared" ca="1" si="6"/>
        <v>54</v>
      </c>
      <c r="C107" s="3">
        <f t="shared" ca="1" si="7"/>
        <v>31</v>
      </c>
      <c r="D107" s="3">
        <f t="shared" ca="1" si="8"/>
        <v>2807.88</v>
      </c>
      <c r="E107" s="22">
        <f t="shared" ca="1" si="9"/>
        <v>10466.639143376951</v>
      </c>
    </row>
    <row r="108" spans="1:5" x14ac:dyDescent="0.25">
      <c r="A108" s="21">
        <f t="shared" ca="1" si="5"/>
        <v>299</v>
      </c>
      <c r="B108" s="3">
        <f t="shared" ca="1" si="6"/>
        <v>52</v>
      </c>
      <c r="C108" s="3">
        <f t="shared" ca="1" si="7"/>
        <v>32</v>
      </c>
      <c r="D108" s="3">
        <f t="shared" ca="1" si="8"/>
        <v>4188.8</v>
      </c>
      <c r="E108" s="22">
        <f t="shared" ca="1" si="9"/>
        <v>16224.889735549621</v>
      </c>
    </row>
    <row r="109" spans="1:5" x14ac:dyDescent="0.25">
      <c r="A109" s="21">
        <f t="shared" ca="1" si="5"/>
        <v>175</v>
      </c>
      <c r="B109" s="3">
        <f t="shared" ca="1" si="6"/>
        <v>48</v>
      </c>
      <c r="C109" s="3">
        <f t="shared" ca="1" si="7"/>
        <v>32</v>
      </c>
      <c r="D109" s="3">
        <f t="shared" ca="1" si="8"/>
        <v>1772</v>
      </c>
      <c r="E109" s="22">
        <f t="shared" ca="1" si="9"/>
        <v>6147.1589248126429</v>
      </c>
    </row>
    <row r="110" spans="1:5" x14ac:dyDescent="0.25">
      <c r="A110" s="21">
        <f t="shared" ca="1" si="5"/>
        <v>268</v>
      </c>
      <c r="B110" s="3">
        <f t="shared" ca="1" si="6"/>
        <v>40</v>
      </c>
      <c r="C110" s="3">
        <f t="shared" ca="1" si="7"/>
        <v>27</v>
      </c>
      <c r="D110" s="3">
        <f t="shared" ca="1" si="8"/>
        <v>2291.84</v>
      </c>
      <c r="E110" s="22">
        <f t="shared" ca="1" si="9"/>
        <v>8314.8217784428616</v>
      </c>
    </row>
    <row r="111" spans="1:5" x14ac:dyDescent="0.25">
      <c r="A111" s="21">
        <f t="shared" ca="1" si="5"/>
        <v>215</v>
      </c>
      <c r="B111" s="3">
        <f t="shared" ca="1" si="6"/>
        <v>45</v>
      </c>
      <c r="C111" s="3">
        <f t="shared" ca="1" si="7"/>
        <v>28</v>
      </c>
      <c r="D111" s="3">
        <f t="shared" ca="1" si="8"/>
        <v>2421.8000000000002</v>
      </c>
      <c r="E111" s="22">
        <f t="shared" ca="1" si="9"/>
        <v>8856.7374918504156</v>
      </c>
    </row>
    <row r="112" spans="1:5" x14ac:dyDescent="0.25">
      <c r="A112" s="21">
        <f t="shared" ca="1" si="5"/>
        <v>288</v>
      </c>
      <c r="B112" s="3">
        <f t="shared" ca="1" si="6"/>
        <v>44</v>
      </c>
      <c r="C112" s="3">
        <f t="shared" ca="1" si="7"/>
        <v>33</v>
      </c>
      <c r="D112" s="3">
        <f t="shared" ca="1" si="8"/>
        <v>2051.6800000000003</v>
      </c>
      <c r="E112" s="22">
        <f t="shared" ca="1" si="9"/>
        <v>7313.3868928476149</v>
      </c>
    </row>
    <row r="113" spans="1:5" x14ac:dyDescent="0.25">
      <c r="A113" s="21">
        <f t="shared" ca="1" si="5"/>
        <v>234</v>
      </c>
      <c r="B113" s="3">
        <f t="shared" ca="1" si="6"/>
        <v>41</v>
      </c>
      <c r="C113" s="3">
        <f t="shared" ca="1" si="7"/>
        <v>32</v>
      </c>
      <c r="D113" s="3">
        <f t="shared" ca="1" si="8"/>
        <v>1244.56</v>
      </c>
      <c r="E113" s="22">
        <f t="shared" ca="1" si="9"/>
        <v>3947.8050937901694</v>
      </c>
    </row>
    <row r="114" spans="1:5" x14ac:dyDescent="0.25">
      <c r="A114" s="21">
        <f t="shared" ca="1" si="5"/>
        <v>237</v>
      </c>
      <c r="B114" s="3">
        <f t="shared" ca="1" si="6"/>
        <v>41</v>
      </c>
      <c r="C114" s="3">
        <f t="shared" ca="1" si="7"/>
        <v>27</v>
      </c>
      <c r="D114" s="3">
        <f t="shared" ca="1" si="8"/>
        <v>2165.6799999999998</v>
      </c>
      <c r="E114" s="22">
        <f t="shared" ca="1" si="9"/>
        <v>7788.751553731433</v>
      </c>
    </row>
    <row r="115" spans="1:5" x14ac:dyDescent="0.25">
      <c r="A115" s="21">
        <f t="shared" ca="1" si="5"/>
        <v>193</v>
      </c>
      <c r="B115" s="3">
        <f t="shared" ca="1" si="6"/>
        <v>44</v>
      </c>
      <c r="C115" s="3">
        <f t="shared" ca="1" si="7"/>
        <v>31</v>
      </c>
      <c r="D115" s="3">
        <f t="shared" ca="1" si="8"/>
        <v>1550.84</v>
      </c>
      <c r="E115" s="22">
        <f t="shared" ca="1" si="9"/>
        <v>5224.9514826980312</v>
      </c>
    </row>
    <row r="116" spans="1:5" x14ac:dyDescent="0.25">
      <c r="A116" s="21">
        <f t="shared" ca="1" si="5"/>
        <v>217</v>
      </c>
      <c r="B116" s="3">
        <f t="shared" ca="1" si="6"/>
        <v>41</v>
      </c>
      <c r="C116" s="3">
        <f t="shared" ca="1" si="7"/>
        <v>35</v>
      </c>
      <c r="D116" s="3">
        <f t="shared" ca="1" si="8"/>
        <v>633.52</v>
      </c>
      <c r="E116" s="22">
        <f t="shared" ca="1" si="9"/>
        <v>1399.8505114528959</v>
      </c>
    </row>
    <row r="117" spans="1:5" x14ac:dyDescent="0.25">
      <c r="A117" s="21">
        <f t="shared" ca="1" si="5"/>
        <v>291</v>
      </c>
      <c r="B117" s="3">
        <f t="shared" ca="1" si="6"/>
        <v>54</v>
      </c>
      <c r="C117" s="3">
        <f t="shared" ca="1" si="7"/>
        <v>33</v>
      </c>
      <c r="D117" s="3">
        <f t="shared" ca="1" si="8"/>
        <v>4288.3599999999997</v>
      </c>
      <c r="E117" s="22">
        <f t="shared" ca="1" si="9"/>
        <v>16640.041539388156</v>
      </c>
    </row>
    <row r="118" spans="1:5" x14ac:dyDescent="0.25">
      <c r="A118" s="21">
        <f t="shared" ca="1" si="5"/>
        <v>192</v>
      </c>
      <c r="B118" s="3">
        <f t="shared" ca="1" si="6"/>
        <v>40</v>
      </c>
      <c r="C118" s="3">
        <f t="shared" ca="1" si="7"/>
        <v>27</v>
      </c>
      <c r="D118" s="3">
        <f t="shared" ca="1" si="8"/>
        <v>1540.96</v>
      </c>
      <c r="E118" s="22">
        <f t="shared" ca="1" si="9"/>
        <v>5183.7532120881006</v>
      </c>
    </row>
    <row r="119" spans="1:5" x14ac:dyDescent="0.25">
      <c r="A119" s="21">
        <f t="shared" ca="1" si="5"/>
        <v>234</v>
      </c>
      <c r="B119" s="3">
        <f t="shared" ca="1" si="6"/>
        <v>54</v>
      </c>
      <c r="C119" s="3">
        <f t="shared" ca="1" si="7"/>
        <v>32</v>
      </c>
      <c r="D119" s="3">
        <f t="shared" ca="1" si="8"/>
        <v>3556.48</v>
      </c>
      <c r="E119" s="22">
        <f t="shared" ca="1" si="9"/>
        <v>13588.200416514033</v>
      </c>
    </row>
    <row r="120" spans="1:5" x14ac:dyDescent="0.25">
      <c r="A120" s="21">
        <f t="shared" ca="1" si="5"/>
        <v>218</v>
      </c>
      <c r="B120" s="3">
        <f t="shared" ca="1" si="6"/>
        <v>45</v>
      </c>
      <c r="C120" s="3">
        <f t="shared" ca="1" si="7"/>
        <v>25</v>
      </c>
      <c r="D120" s="3">
        <f t="shared" ca="1" si="8"/>
        <v>2957.6</v>
      </c>
      <c r="E120" s="22">
        <f t="shared" ca="1" si="9"/>
        <v>11090.951398004368</v>
      </c>
    </row>
    <row r="121" spans="1:5" x14ac:dyDescent="0.25">
      <c r="A121" s="21">
        <f t="shared" ca="1" si="5"/>
        <v>254</v>
      </c>
      <c r="B121" s="3">
        <f t="shared" ca="1" si="6"/>
        <v>46</v>
      </c>
      <c r="C121" s="3">
        <f t="shared" ca="1" si="7"/>
        <v>25</v>
      </c>
      <c r="D121" s="3">
        <f t="shared" ca="1" si="8"/>
        <v>3697.84</v>
      </c>
      <c r="E121" s="22">
        <f t="shared" ca="1" si="9"/>
        <v>14177.652596009972</v>
      </c>
    </row>
    <row r="122" spans="1:5" x14ac:dyDescent="0.25">
      <c r="A122" s="21">
        <f t="shared" ca="1" si="5"/>
        <v>221</v>
      </c>
      <c r="B122" s="3">
        <f t="shared" ca="1" si="6"/>
        <v>47</v>
      </c>
      <c r="C122" s="3">
        <f t="shared" ca="1" si="7"/>
        <v>25</v>
      </c>
      <c r="D122" s="3">
        <f t="shared" ca="1" si="8"/>
        <v>3339.12</v>
      </c>
      <c r="E122" s="22">
        <f t="shared" ca="1" si="9"/>
        <v>12681.83846309555</v>
      </c>
    </row>
    <row r="123" spans="1:5" x14ac:dyDescent="0.25">
      <c r="A123" s="21">
        <f t="shared" ca="1" si="5"/>
        <v>151</v>
      </c>
      <c r="B123" s="3">
        <f t="shared" ca="1" si="6"/>
        <v>53</v>
      </c>
      <c r="C123" s="3">
        <f t="shared" ca="1" si="7"/>
        <v>29</v>
      </c>
      <c r="D123" s="3">
        <f t="shared" ca="1" si="8"/>
        <v>2398.2400000000002</v>
      </c>
      <c r="E123" s="22">
        <f t="shared" ca="1" si="9"/>
        <v>8758.4954619344262</v>
      </c>
    </row>
    <row r="124" spans="1:5" x14ac:dyDescent="0.25">
      <c r="A124" s="21">
        <f t="shared" ca="1" si="5"/>
        <v>288</v>
      </c>
      <c r="B124" s="3">
        <f t="shared" ca="1" si="6"/>
        <v>45</v>
      </c>
      <c r="C124" s="3">
        <f t="shared" ca="1" si="7"/>
        <v>34</v>
      </c>
      <c r="D124" s="3">
        <f t="shared" ca="1" si="8"/>
        <v>2051.6800000000003</v>
      </c>
      <c r="E124" s="22">
        <f t="shared" ca="1" si="9"/>
        <v>7313.3868928476149</v>
      </c>
    </row>
    <row r="125" spans="1:5" x14ac:dyDescent="0.25">
      <c r="A125" s="21">
        <f t="shared" ca="1" si="5"/>
        <v>288</v>
      </c>
      <c r="B125" s="3">
        <f t="shared" ca="1" si="6"/>
        <v>53</v>
      </c>
      <c r="C125" s="3">
        <f t="shared" ca="1" si="7"/>
        <v>27</v>
      </c>
      <c r="D125" s="3">
        <f t="shared" ca="1" si="8"/>
        <v>5334.88</v>
      </c>
      <c r="E125" s="22">
        <f t="shared" ca="1" si="9"/>
        <v>21003.889126301619</v>
      </c>
    </row>
    <row r="126" spans="1:5" x14ac:dyDescent="0.25">
      <c r="A126" s="21">
        <f t="shared" ca="1" si="5"/>
        <v>243</v>
      </c>
      <c r="B126" s="3">
        <f t="shared" ca="1" si="6"/>
        <v>53</v>
      </c>
      <c r="C126" s="3">
        <f t="shared" ca="1" si="7"/>
        <v>33</v>
      </c>
      <c r="D126" s="3">
        <f t="shared" ca="1" si="8"/>
        <v>3337.6</v>
      </c>
      <c r="E126" s="22">
        <f t="shared" ca="1" si="9"/>
        <v>12675.500267617101</v>
      </c>
    </row>
    <row r="127" spans="1:5" x14ac:dyDescent="0.25">
      <c r="A127" s="21">
        <f t="shared" ca="1" si="5"/>
        <v>166</v>
      </c>
      <c r="B127" s="3">
        <f t="shared" ca="1" si="6"/>
        <v>40</v>
      </c>
      <c r="C127" s="3">
        <f t="shared" ca="1" si="7"/>
        <v>31</v>
      </c>
      <c r="D127" s="3">
        <f t="shared" ca="1" si="8"/>
        <v>779.44</v>
      </c>
      <c r="E127" s="22">
        <f t="shared" ca="1" si="9"/>
        <v>2008.3172773841852</v>
      </c>
    </row>
    <row r="128" spans="1:5" x14ac:dyDescent="0.25">
      <c r="A128" s="21">
        <f t="shared" ca="1" si="5"/>
        <v>251</v>
      </c>
      <c r="B128" s="3">
        <f t="shared" ca="1" si="6"/>
        <v>49</v>
      </c>
      <c r="C128" s="3">
        <f t="shared" ca="1" si="7"/>
        <v>33</v>
      </c>
      <c r="D128" s="3">
        <f t="shared" ca="1" si="8"/>
        <v>2696.16</v>
      </c>
      <c r="E128" s="22">
        <f t="shared" ca="1" si="9"/>
        <v>10000.781775710806</v>
      </c>
    </row>
    <row r="129" spans="1:5" x14ac:dyDescent="0.25">
      <c r="A129" s="21">
        <f t="shared" ca="1" si="5"/>
        <v>151</v>
      </c>
      <c r="B129" s="3">
        <f t="shared" ca="1" si="6"/>
        <v>44</v>
      </c>
      <c r="C129" s="3">
        <f t="shared" ca="1" si="7"/>
        <v>27</v>
      </c>
      <c r="D129" s="3">
        <f t="shared" ca="1" si="8"/>
        <v>1594.92</v>
      </c>
      <c r="E129" s="22">
        <f t="shared" ca="1" si="9"/>
        <v>5408.7591515731101</v>
      </c>
    </row>
    <row r="130" spans="1:5" x14ac:dyDescent="0.25">
      <c r="A130" s="21">
        <f t="shared" ref="A130:A193" ca="1" si="10">RANDBETWEEN(150,300)</f>
        <v>237</v>
      </c>
      <c r="B130" s="3">
        <f t="shared" ref="B130:B193" ca="1" si="11">RANDBETWEEN(40,55)</f>
        <v>52</v>
      </c>
      <c r="C130" s="3">
        <f t="shared" ref="C130:C193" ca="1" si="12">RANDBETWEEN(25,35)</f>
        <v>32</v>
      </c>
      <c r="D130" s="3">
        <f t="shared" ca="1" si="8"/>
        <v>3246.4</v>
      </c>
      <c r="E130" s="22">
        <f t="shared" ca="1" si="9"/>
        <v>12295.208538910045</v>
      </c>
    </row>
    <row r="131" spans="1:5" x14ac:dyDescent="0.25">
      <c r="A131" s="21">
        <f t="shared" ca="1" si="10"/>
        <v>254</v>
      </c>
      <c r="B131" s="3">
        <f t="shared" ca="1" si="11"/>
        <v>40</v>
      </c>
      <c r="C131" s="3">
        <f t="shared" ca="1" si="12"/>
        <v>31</v>
      </c>
      <c r="D131" s="3">
        <f t="shared" ref="D131:D194" ca="1" si="13">(A131*(B131-C131)-$N$1-$N$2)*(1-$N$3)+$N$2</f>
        <v>1381.3600000000001</v>
      </c>
      <c r="E131" s="22">
        <f t="shared" ref="E131:E194" ca="1" si="14">PV($N$4,$N$5,-D131,$N$6,1)</f>
        <v>4518.2426868507537</v>
      </c>
    </row>
    <row r="132" spans="1:5" x14ac:dyDescent="0.25">
      <c r="A132" s="21">
        <f t="shared" ca="1" si="10"/>
        <v>250</v>
      </c>
      <c r="B132" s="3">
        <f t="shared" ca="1" si="11"/>
        <v>45</v>
      </c>
      <c r="C132" s="3">
        <f t="shared" ca="1" si="12"/>
        <v>35</v>
      </c>
      <c r="D132" s="3">
        <f t="shared" ca="1" si="13"/>
        <v>1544</v>
      </c>
      <c r="E132" s="22">
        <f t="shared" ca="1" si="14"/>
        <v>5196.4296030450032</v>
      </c>
    </row>
    <row r="133" spans="1:5" x14ac:dyDescent="0.25">
      <c r="A133" s="21">
        <f t="shared" ca="1" si="10"/>
        <v>227</v>
      </c>
      <c r="B133" s="3">
        <f t="shared" ca="1" si="11"/>
        <v>40</v>
      </c>
      <c r="C133" s="3">
        <f t="shared" ca="1" si="12"/>
        <v>30</v>
      </c>
      <c r="D133" s="3">
        <f t="shared" ca="1" si="13"/>
        <v>1369.2</v>
      </c>
      <c r="E133" s="22">
        <f t="shared" ca="1" si="14"/>
        <v>4467.5371230231458</v>
      </c>
    </row>
    <row r="134" spans="1:5" x14ac:dyDescent="0.25">
      <c r="A134" s="21">
        <f t="shared" ca="1" si="10"/>
        <v>177</v>
      </c>
      <c r="B134" s="3">
        <f t="shared" ca="1" si="11"/>
        <v>52</v>
      </c>
      <c r="C134" s="3">
        <f t="shared" ca="1" si="12"/>
        <v>29</v>
      </c>
      <c r="D134" s="3">
        <f t="shared" ca="1" si="13"/>
        <v>2737.96</v>
      </c>
      <c r="E134" s="22">
        <f t="shared" ca="1" si="14"/>
        <v>10175.082151368208</v>
      </c>
    </row>
    <row r="135" spans="1:5" x14ac:dyDescent="0.25">
      <c r="A135" s="21">
        <f t="shared" ca="1" si="10"/>
        <v>285</v>
      </c>
      <c r="B135" s="3">
        <f t="shared" ca="1" si="11"/>
        <v>53</v>
      </c>
      <c r="C135" s="3">
        <f t="shared" ca="1" si="12"/>
        <v>28</v>
      </c>
      <c r="D135" s="3">
        <f t="shared" ca="1" si="13"/>
        <v>5059</v>
      </c>
      <c r="E135" s="22">
        <f t="shared" ca="1" si="14"/>
        <v>19853.506646962778</v>
      </c>
    </row>
    <row r="136" spans="1:5" x14ac:dyDescent="0.25">
      <c r="A136" s="21">
        <f t="shared" ca="1" si="10"/>
        <v>193</v>
      </c>
      <c r="B136" s="3">
        <f t="shared" ca="1" si="11"/>
        <v>45</v>
      </c>
      <c r="C136" s="3">
        <f t="shared" ca="1" si="12"/>
        <v>31</v>
      </c>
      <c r="D136" s="3">
        <f t="shared" ca="1" si="13"/>
        <v>1697.52</v>
      </c>
      <c r="E136" s="22">
        <f t="shared" ca="1" si="14"/>
        <v>5836.5873463685466</v>
      </c>
    </row>
    <row r="137" spans="1:5" x14ac:dyDescent="0.25">
      <c r="A137" s="21">
        <f t="shared" ca="1" si="10"/>
        <v>200</v>
      </c>
      <c r="B137" s="3">
        <f t="shared" ca="1" si="11"/>
        <v>45</v>
      </c>
      <c r="C137" s="3">
        <f t="shared" ca="1" si="12"/>
        <v>27</v>
      </c>
      <c r="D137" s="3">
        <f t="shared" ca="1" si="13"/>
        <v>2380</v>
      </c>
      <c r="E137" s="22">
        <f t="shared" ca="1" si="14"/>
        <v>8682.4371161930139</v>
      </c>
    </row>
    <row r="138" spans="1:5" x14ac:dyDescent="0.25">
      <c r="A138" s="21">
        <f t="shared" ca="1" si="10"/>
        <v>196</v>
      </c>
      <c r="B138" s="3">
        <f t="shared" ca="1" si="11"/>
        <v>54</v>
      </c>
      <c r="C138" s="3">
        <f t="shared" ca="1" si="12"/>
        <v>33</v>
      </c>
      <c r="D138" s="3">
        <f t="shared" ca="1" si="13"/>
        <v>2772.16</v>
      </c>
      <c r="E138" s="22">
        <f t="shared" ca="1" si="14"/>
        <v>10317.691549633353</v>
      </c>
    </row>
    <row r="139" spans="1:5" x14ac:dyDescent="0.25">
      <c r="A139" s="21">
        <f t="shared" ca="1" si="10"/>
        <v>179</v>
      </c>
      <c r="B139" s="3">
        <f t="shared" ca="1" si="11"/>
        <v>41</v>
      </c>
      <c r="C139" s="3">
        <f t="shared" ca="1" si="12"/>
        <v>30</v>
      </c>
      <c r="D139" s="3">
        <f t="shared" ca="1" si="13"/>
        <v>1140.44</v>
      </c>
      <c r="E139" s="22">
        <f t="shared" ca="1" si="14"/>
        <v>3513.6387035162816</v>
      </c>
    </row>
    <row r="140" spans="1:5" x14ac:dyDescent="0.25">
      <c r="A140" s="21">
        <f t="shared" ca="1" si="10"/>
        <v>155</v>
      </c>
      <c r="B140" s="3">
        <f t="shared" ca="1" si="11"/>
        <v>54</v>
      </c>
      <c r="C140" s="3">
        <f t="shared" ca="1" si="12"/>
        <v>25</v>
      </c>
      <c r="D140" s="3">
        <f t="shared" ca="1" si="13"/>
        <v>3060.2</v>
      </c>
      <c r="E140" s="22">
        <f t="shared" ca="1" si="14"/>
        <v>11518.779592799805</v>
      </c>
    </row>
    <row r="141" spans="1:5" x14ac:dyDescent="0.25">
      <c r="A141" s="21">
        <f t="shared" ca="1" si="10"/>
        <v>162</v>
      </c>
      <c r="B141" s="3">
        <f t="shared" ca="1" si="11"/>
        <v>50</v>
      </c>
      <c r="C141" s="3">
        <f t="shared" ca="1" si="12"/>
        <v>32</v>
      </c>
      <c r="D141" s="3">
        <f t="shared" ca="1" si="13"/>
        <v>1860.16</v>
      </c>
      <c r="E141" s="22">
        <f t="shared" ca="1" si="14"/>
        <v>6514.774262562797</v>
      </c>
    </row>
    <row r="142" spans="1:5" x14ac:dyDescent="0.25">
      <c r="A142" s="21">
        <f t="shared" ca="1" si="10"/>
        <v>228</v>
      </c>
      <c r="B142" s="3">
        <f t="shared" ca="1" si="11"/>
        <v>54</v>
      </c>
      <c r="C142" s="3">
        <f t="shared" ca="1" si="12"/>
        <v>32</v>
      </c>
      <c r="D142" s="3">
        <f t="shared" ca="1" si="13"/>
        <v>3456.16</v>
      </c>
      <c r="E142" s="22">
        <f t="shared" ca="1" si="14"/>
        <v>13169.879514936274</v>
      </c>
    </row>
    <row r="143" spans="1:5" x14ac:dyDescent="0.25">
      <c r="A143" s="21">
        <f t="shared" ca="1" si="10"/>
        <v>241</v>
      </c>
      <c r="B143" s="3">
        <f t="shared" ca="1" si="11"/>
        <v>47</v>
      </c>
      <c r="C143" s="3">
        <f t="shared" ca="1" si="12"/>
        <v>34</v>
      </c>
      <c r="D143" s="3">
        <f t="shared" ca="1" si="13"/>
        <v>2025.08</v>
      </c>
      <c r="E143" s="22">
        <f t="shared" ca="1" si="14"/>
        <v>7202.468471974722</v>
      </c>
    </row>
    <row r="144" spans="1:5" x14ac:dyDescent="0.25">
      <c r="A144" s="21">
        <f t="shared" ca="1" si="10"/>
        <v>266</v>
      </c>
      <c r="B144" s="3">
        <f t="shared" ca="1" si="11"/>
        <v>40</v>
      </c>
      <c r="C144" s="3">
        <f t="shared" ca="1" si="12"/>
        <v>33</v>
      </c>
      <c r="D144" s="3">
        <f t="shared" ca="1" si="13"/>
        <v>1059.1199999999999</v>
      </c>
      <c r="E144" s="22">
        <f t="shared" ca="1" si="14"/>
        <v>3174.5452454191559</v>
      </c>
    </row>
    <row r="145" spans="1:5" x14ac:dyDescent="0.25">
      <c r="A145" s="21">
        <f t="shared" ca="1" si="10"/>
        <v>173</v>
      </c>
      <c r="B145" s="3">
        <f t="shared" ca="1" si="11"/>
        <v>47</v>
      </c>
      <c r="C145" s="3">
        <f t="shared" ca="1" si="12"/>
        <v>25</v>
      </c>
      <c r="D145" s="3">
        <f t="shared" ca="1" si="13"/>
        <v>2536.56</v>
      </c>
      <c r="E145" s="22">
        <f t="shared" ca="1" si="14"/>
        <v>9335.2712504734609</v>
      </c>
    </row>
    <row r="146" spans="1:5" x14ac:dyDescent="0.25">
      <c r="A146" s="21">
        <f t="shared" ca="1" si="10"/>
        <v>284</v>
      </c>
      <c r="B146" s="3">
        <f t="shared" ca="1" si="11"/>
        <v>44</v>
      </c>
      <c r="C146" s="3">
        <f t="shared" ca="1" si="12"/>
        <v>25</v>
      </c>
      <c r="D146" s="3">
        <f t="shared" ca="1" si="13"/>
        <v>3744.96</v>
      </c>
      <c r="E146" s="22">
        <f t="shared" ca="1" si="14"/>
        <v>14374.13665584195</v>
      </c>
    </row>
    <row r="147" spans="1:5" x14ac:dyDescent="0.25">
      <c r="A147" s="21">
        <f t="shared" ca="1" si="10"/>
        <v>178</v>
      </c>
      <c r="B147" s="3">
        <f t="shared" ca="1" si="11"/>
        <v>40</v>
      </c>
      <c r="C147" s="3">
        <f t="shared" ca="1" si="12"/>
        <v>26</v>
      </c>
      <c r="D147" s="3">
        <f t="shared" ca="1" si="13"/>
        <v>1537.92</v>
      </c>
      <c r="E147" s="22">
        <f t="shared" ca="1" si="14"/>
        <v>5171.0768211311997</v>
      </c>
    </row>
    <row r="148" spans="1:5" x14ac:dyDescent="0.25">
      <c r="A148" s="21">
        <f t="shared" ca="1" si="10"/>
        <v>293</v>
      </c>
      <c r="B148" s="3">
        <f t="shared" ca="1" si="11"/>
        <v>52</v>
      </c>
      <c r="C148" s="3">
        <f t="shared" ca="1" si="12"/>
        <v>25</v>
      </c>
      <c r="D148" s="3">
        <f t="shared" ca="1" si="13"/>
        <v>5656.36</v>
      </c>
      <c r="E148" s="22">
        <f t="shared" ca="1" si="14"/>
        <v>22344.41746999399</v>
      </c>
    </row>
    <row r="149" spans="1:5" x14ac:dyDescent="0.25">
      <c r="A149" s="21">
        <f t="shared" ca="1" si="10"/>
        <v>239</v>
      </c>
      <c r="B149" s="3">
        <f t="shared" ca="1" si="11"/>
        <v>40</v>
      </c>
      <c r="C149" s="3">
        <f t="shared" ca="1" si="12"/>
        <v>31</v>
      </c>
      <c r="D149" s="3">
        <f t="shared" ca="1" si="13"/>
        <v>1278.76</v>
      </c>
      <c r="E149" s="22">
        <f t="shared" ca="1" si="14"/>
        <v>4090.4144920553158</v>
      </c>
    </row>
    <row r="150" spans="1:5" x14ac:dyDescent="0.25">
      <c r="A150" s="21">
        <f t="shared" ca="1" si="10"/>
        <v>153</v>
      </c>
      <c r="B150" s="3">
        <f t="shared" ca="1" si="11"/>
        <v>54</v>
      </c>
      <c r="C150" s="3">
        <f t="shared" ca="1" si="12"/>
        <v>31</v>
      </c>
      <c r="D150" s="3">
        <f t="shared" ca="1" si="13"/>
        <v>2318.44</v>
      </c>
      <c r="E150" s="22">
        <f t="shared" ca="1" si="14"/>
        <v>8425.7401993157528</v>
      </c>
    </row>
    <row r="151" spans="1:5" x14ac:dyDescent="0.25">
      <c r="A151" s="21">
        <f t="shared" ca="1" si="10"/>
        <v>227</v>
      </c>
      <c r="B151" s="3">
        <f t="shared" ca="1" si="11"/>
        <v>46</v>
      </c>
      <c r="C151" s="3">
        <f t="shared" ca="1" si="12"/>
        <v>25</v>
      </c>
      <c r="D151" s="3">
        <f t="shared" ca="1" si="13"/>
        <v>3266.92</v>
      </c>
      <c r="E151" s="22">
        <f t="shared" ca="1" si="14"/>
        <v>12380.774177869132</v>
      </c>
    </row>
    <row r="152" spans="1:5" x14ac:dyDescent="0.25">
      <c r="A152" s="21">
        <f t="shared" ca="1" si="10"/>
        <v>203</v>
      </c>
      <c r="B152" s="3">
        <f t="shared" ca="1" si="11"/>
        <v>54</v>
      </c>
      <c r="C152" s="3">
        <f t="shared" ca="1" si="12"/>
        <v>31</v>
      </c>
      <c r="D152" s="3">
        <f t="shared" ca="1" si="13"/>
        <v>3192.44</v>
      </c>
      <c r="E152" s="22">
        <f t="shared" ca="1" si="14"/>
        <v>12070.202599425036</v>
      </c>
    </row>
    <row r="153" spans="1:5" x14ac:dyDescent="0.25">
      <c r="A153" s="21">
        <f t="shared" ca="1" si="10"/>
        <v>242</v>
      </c>
      <c r="B153" s="3">
        <f t="shared" ca="1" si="11"/>
        <v>50</v>
      </c>
      <c r="C153" s="3">
        <f t="shared" ca="1" si="12"/>
        <v>31</v>
      </c>
      <c r="D153" s="3">
        <f t="shared" ca="1" si="13"/>
        <v>3138.48</v>
      </c>
      <c r="E153" s="22">
        <f t="shared" ca="1" si="14"/>
        <v>11845.196659940029</v>
      </c>
    </row>
    <row r="154" spans="1:5" x14ac:dyDescent="0.25">
      <c r="A154" s="21">
        <f t="shared" ca="1" si="10"/>
        <v>254</v>
      </c>
      <c r="B154" s="3">
        <f t="shared" ca="1" si="11"/>
        <v>48</v>
      </c>
      <c r="C154" s="3">
        <f t="shared" ca="1" si="12"/>
        <v>25</v>
      </c>
      <c r="D154" s="3">
        <f t="shared" ca="1" si="13"/>
        <v>4083.92</v>
      </c>
      <c r="E154" s="22">
        <f t="shared" ca="1" si="14"/>
        <v>15787.554247536507</v>
      </c>
    </row>
    <row r="155" spans="1:5" x14ac:dyDescent="0.25">
      <c r="A155" s="21">
        <f t="shared" ca="1" si="10"/>
        <v>155</v>
      </c>
      <c r="B155" s="3">
        <f t="shared" ca="1" si="11"/>
        <v>49</v>
      </c>
      <c r="C155" s="3">
        <f t="shared" ca="1" si="12"/>
        <v>32</v>
      </c>
      <c r="D155" s="3">
        <f t="shared" ca="1" si="13"/>
        <v>1646.6</v>
      </c>
      <c r="E155" s="22">
        <f t="shared" ca="1" si="14"/>
        <v>5624.2577978404397</v>
      </c>
    </row>
    <row r="156" spans="1:5" x14ac:dyDescent="0.25">
      <c r="A156" s="21">
        <f t="shared" ca="1" si="10"/>
        <v>252</v>
      </c>
      <c r="B156" s="3">
        <f t="shared" ca="1" si="11"/>
        <v>55</v>
      </c>
      <c r="C156" s="3">
        <f t="shared" ca="1" si="12"/>
        <v>32</v>
      </c>
      <c r="D156" s="3">
        <f t="shared" ca="1" si="13"/>
        <v>4048.96</v>
      </c>
      <c r="E156" s="22">
        <f t="shared" ca="1" si="14"/>
        <v>15641.775751532135</v>
      </c>
    </row>
    <row r="157" spans="1:5" x14ac:dyDescent="0.25">
      <c r="A157" s="21">
        <f t="shared" ca="1" si="10"/>
        <v>164</v>
      </c>
      <c r="B157" s="3">
        <f t="shared" ca="1" si="11"/>
        <v>45</v>
      </c>
      <c r="C157" s="3">
        <f t="shared" ca="1" si="12"/>
        <v>27</v>
      </c>
      <c r="D157" s="3">
        <f t="shared" ca="1" si="13"/>
        <v>1887.52</v>
      </c>
      <c r="E157" s="22">
        <f t="shared" ca="1" si="14"/>
        <v>6628.8617811749136</v>
      </c>
    </row>
    <row r="158" spans="1:5" x14ac:dyDescent="0.25">
      <c r="A158" s="21">
        <f t="shared" ca="1" si="10"/>
        <v>216</v>
      </c>
      <c r="B158" s="3">
        <f t="shared" ca="1" si="11"/>
        <v>54</v>
      </c>
      <c r="C158" s="3">
        <f t="shared" ca="1" si="12"/>
        <v>35</v>
      </c>
      <c r="D158" s="3">
        <f t="shared" ca="1" si="13"/>
        <v>2763.04</v>
      </c>
      <c r="E158" s="22">
        <f t="shared" ca="1" si="14"/>
        <v>10279.662376762648</v>
      </c>
    </row>
    <row r="159" spans="1:5" x14ac:dyDescent="0.25">
      <c r="A159" s="21">
        <f t="shared" ca="1" si="10"/>
        <v>278</v>
      </c>
      <c r="B159" s="3">
        <f t="shared" ca="1" si="11"/>
        <v>47</v>
      </c>
      <c r="C159" s="3">
        <f t="shared" ca="1" si="12"/>
        <v>32</v>
      </c>
      <c r="D159" s="3">
        <f t="shared" ca="1" si="13"/>
        <v>2813.2</v>
      </c>
      <c r="E159" s="22">
        <f t="shared" ca="1" si="14"/>
        <v>10488.822827551528</v>
      </c>
    </row>
    <row r="160" spans="1:5" x14ac:dyDescent="0.25">
      <c r="A160" s="21">
        <f t="shared" ca="1" si="10"/>
        <v>288</v>
      </c>
      <c r="B160" s="3">
        <f t="shared" ca="1" si="11"/>
        <v>45</v>
      </c>
      <c r="C160" s="3">
        <f t="shared" ca="1" si="12"/>
        <v>32</v>
      </c>
      <c r="D160" s="3">
        <f t="shared" ca="1" si="13"/>
        <v>2489.44</v>
      </c>
      <c r="E160" s="22">
        <f t="shared" ca="1" si="14"/>
        <v>9138.7871906414803</v>
      </c>
    </row>
    <row r="161" spans="1:5" x14ac:dyDescent="0.25">
      <c r="A161" s="21">
        <f t="shared" ca="1" si="10"/>
        <v>199</v>
      </c>
      <c r="B161" s="3">
        <f t="shared" ca="1" si="11"/>
        <v>46</v>
      </c>
      <c r="C161" s="3">
        <f t="shared" ca="1" si="12"/>
        <v>33</v>
      </c>
      <c r="D161" s="3">
        <f t="shared" ca="1" si="13"/>
        <v>1610.1200000000001</v>
      </c>
      <c r="E161" s="22">
        <f t="shared" ca="1" si="14"/>
        <v>5472.1411063576197</v>
      </c>
    </row>
    <row r="162" spans="1:5" x14ac:dyDescent="0.25">
      <c r="A162" s="21">
        <f t="shared" ca="1" si="10"/>
        <v>165</v>
      </c>
      <c r="B162" s="3">
        <f t="shared" ca="1" si="11"/>
        <v>41</v>
      </c>
      <c r="C162" s="3">
        <f t="shared" ca="1" si="12"/>
        <v>30</v>
      </c>
      <c r="D162" s="3">
        <f t="shared" ca="1" si="13"/>
        <v>1023.4</v>
      </c>
      <c r="E162" s="22">
        <f t="shared" ca="1" si="14"/>
        <v>3025.5976516755595</v>
      </c>
    </row>
    <row r="163" spans="1:5" x14ac:dyDescent="0.25">
      <c r="A163" s="21">
        <f t="shared" ca="1" si="10"/>
        <v>268</v>
      </c>
      <c r="B163" s="3">
        <f t="shared" ca="1" si="11"/>
        <v>54</v>
      </c>
      <c r="C163" s="3">
        <f t="shared" ca="1" si="12"/>
        <v>30</v>
      </c>
      <c r="D163" s="3">
        <f t="shared" ca="1" si="13"/>
        <v>4532.32</v>
      </c>
      <c r="E163" s="22">
        <f t="shared" ca="1" si="14"/>
        <v>17657.321913679531</v>
      </c>
    </row>
    <row r="164" spans="1:5" x14ac:dyDescent="0.25">
      <c r="A164" s="21">
        <f t="shared" ca="1" si="10"/>
        <v>232</v>
      </c>
      <c r="B164" s="3">
        <f t="shared" ca="1" si="11"/>
        <v>47</v>
      </c>
      <c r="C164" s="3">
        <f t="shared" ca="1" si="12"/>
        <v>30</v>
      </c>
      <c r="D164" s="3">
        <f t="shared" ca="1" si="13"/>
        <v>2641.44</v>
      </c>
      <c r="E164" s="22">
        <f t="shared" ca="1" si="14"/>
        <v>9772.6067384865746</v>
      </c>
    </row>
    <row r="165" spans="1:5" x14ac:dyDescent="0.25">
      <c r="A165" s="21">
        <f t="shared" ca="1" si="10"/>
        <v>263</v>
      </c>
      <c r="B165" s="3">
        <f t="shared" ca="1" si="11"/>
        <v>47</v>
      </c>
      <c r="C165" s="3">
        <f t="shared" ca="1" si="12"/>
        <v>32</v>
      </c>
      <c r="D165" s="3">
        <f t="shared" ca="1" si="13"/>
        <v>2642.2</v>
      </c>
      <c r="E165" s="22">
        <f t="shared" ca="1" si="14"/>
        <v>9775.775836225801</v>
      </c>
    </row>
    <row r="166" spans="1:5" x14ac:dyDescent="0.25">
      <c r="A166" s="21">
        <f t="shared" ca="1" si="10"/>
        <v>243</v>
      </c>
      <c r="B166" s="3">
        <f t="shared" ca="1" si="11"/>
        <v>50</v>
      </c>
      <c r="C166" s="3">
        <f t="shared" ca="1" si="12"/>
        <v>28</v>
      </c>
      <c r="D166" s="3">
        <f t="shared" ca="1" si="13"/>
        <v>3706.96</v>
      </c>
      <c r="E166" s="22">
        <f t="shared" ca="1" si="14"/>
        <v>14215.681768880677</v>
      </c>
    </row>
    <row r="167" spans="1:5" x14ac:dyDescent="0.25">
      <c r="A167" s="21">
        <f t="shared" ca="1" si="10"/>
        <v>253</v>
      </c>
      <c r="B167" s="3">
        <f t="shared" ca="1" si="11"/>
        <v>42</v>
      </c>
      <c r="C167" s="3">
        <f t="shared" ca="1" si="12"/>
        <v>31</v>
      </c>
      <c r="D167" s="3">
        <f t="shared" ca="1" si="13"/>
        <v>1759.08</v>
      </c>
      <c r="E167" s="22">
        <f t="shared" ca="1" si="14"/>
        <v>6093.2842632458096</v>
      </c>
    </row>
    <row r="168" spans="1:5" x14ac:dyDescent="0.25">
      <c r="A168" s="21">
        <f t="shared" ca="1" si="10"/>
        <v>201</v>
      </c>
      <c r="B168" s="3">
        <f t="shared" ca="1" si="11"/>
        <v>54</v>
      </c>
      <c r="C168" s="3">
        <f t="shared" ca="1" si="12"/>
        <v>29</v>
      </c>
      <c r="D168" s="3">
        <f t="shared" ca="1" si="13"/>
        <v>3463</v>
      </c>
      <c r="E168" s="22">
        <f t="shared" ca="1" si="14"/>
        <v>13198.401394589302</v>
      </c>
    </row>
    <row r="169" spans="1:5" x14ac:dyDescent="0.25">
      <c r="A169" s="21">
        <f t="shared" ca="1" si="10"/>
        <v>190</v>
      </c>
      <c r="B169" s="3">
        <f t="shared" ca="1" si="11"/>
        <v>49</v>
      </c>
      <c r="C169" s="3">
        <f t="shared" ca="1" si="12"/>
        <v>32</v>
      </c>
      <c r="D169" s="3">
        <f t="shared" ca="1" si="13"/>
        <v>2098.8000000000002</v>
      </c>
      <c r="E169" s="22">
        <f t="shared" ca="1" si="14"/>
        <v>7509.8709526795928</v>
      </c>
    </row>
    <row r="170" spans="1:5" x14ac:dyDescent="0.25">
      <c r="A170" s="21">
        <f t="shared" ca="1" si="10"/>
        <v>295</v>
      </c>
      <c r="B170" s="3">
        <f t="shared" ca="1" si="11"/>
        <v>43</v>
      </c>
      <c r="C170" s="3">
        <f t="shared" ca="1" si="12"/>
        <v>30</v>
      </c>
      <c r="D170" s="3">
        <f t="shared" ca="1" si="13"/>
        <v>2558.6</v>
      </c>
      <c r="E170" s="22">
        <f t="shared" ca="1" si="14"/>
        <v>9427.1750849109976</v>
      </c>
    </row>
    <row r="171" spans="1:5" x14ac:dyDescent="0.25">
      <c r="A171" s="21">
        <f t="shared" ca="1" si="10"/>
        <v>190</v>
      </c>
      <c r="B171" s="3">
        <f t="shared" ca="1" si="11"/>
        <v>45</v>
      </c>
      <c r="C171" s="3">
        <f t="shared" ca="1" si="12"/>
        <v>35</v>
      </c>
      <c r="D171" s="3">
        <f t="shared" ca="1" si="13"/>
        <v>1088</v>
      </c>
      <c r="E171" s="22">
        <f t="shared" ca="1" si="14"/>
        <v>3294.9709595097243</v>
      </c>
    </row>
    <row r="172" spans="1:5" x14ac:dyDescent="0.25">
      <c r="A172" s="21">
        <f t="shared" ca="1" si="10"/>
        <v>226</v>
      </c>
      <c r="B172" s="3">
        <f t="shared" ca="1" si="11"/>
        <v>55</v>
      </c>
      <c r="C172" s="3">
        <f t="shared" ca="1" si="12"/>
        <v>29</v>
      </c>
      <c r="D172" s="3">
        <f t="shared" ca="1" si="13"/>
        <v>4109.76</v>
      </c>
      <c r="E172" s="22">
        <f t="shared" ca="1" si="14"/>
        <v>15895.303570670174</v>
      </c>
    </row>
    <row r="173" spans="1:5" x14ac:dyDescent="0.25">
      <c r="A173" s="21">
        <f t="shared" ca="1" si="10"/>
        <v>276</v>
      </c>
      <c r="B173" s="3">
        <f t="shared" ca="1" si="11"/>
        <v>44</v>
      </c>
      <c r="C173" s="3">
        <f t="shared" ca="1" si="12"/>
        <v>35</v>
      </c>
      <c r="D173" s="3">
        <f t="shared" ca="1" si="13"/>
        <v>1531.84</v>
      </c>
      <c r="E173" s="22">
        <f t="shared" ca="1" si="14"/>
        <v>5145.7240392173953</v>
      </c>
    </row>
    <row r="174" spans="1:5" x14ac:dyDescent="0.25">
      <c r="A174" s="21">
        <f t="shared" ca="1" si="10"/>
        <v>244</v>
      </c>
      <c r="B174" s="3">
        <f t="shared" ca="1" si="11"/>
        <v>40</v>
      </c>
      <c r="C174" s="3">
        <f t="shared" ca="1" si="12"/>
        <v>34</v>
      </c>
      <c r="D174" s="3">
        <f t="shared" ca="1" si="13"/>
        <v>756.64</v>
      </c>
      <c r="E174" s="22">
        <f t="shared" ca="1" si="14"/>
        <v>1913.2443452074217</v>
      </c>
    </row>
    <row r="175" spans="1:5" x14ac:dyDescent="0.25">
      <c r="A175" s="21">
        <f t="shared" ca="1" si="10"/>
        <v>241</v>
      </c>
      <c r="B175" s="3">
        <f t="shared" ca="1" si="11"/>
        <v>45</v>
      </c>
      <c r="C175" s="3">
        <f t="shared" ca="1" si="12"/>
        <v>35</v>
      </c>
      <c r="D175" s="3">
        <f t="shared" ca="1" si="13"/>
        <v>1475.6</v>
      </c>
      <c r="E175" s="22">
        <f t="shared" ca="1" si="14"/>
        <v>4911.2108065147113</v>
      </c>
    </row>
    <row r="176" spans="1:5" x14ac:dyDescent="0.25">
      <c r="A176" s="21">
        <f t="shared" ca="1" si="10"/>
        <v>187</v>
      </c>
      <c r="B176" s="3">
        <f t="shared" ca="1" si="11"/>
        <v>55</v>
      </c>
      <c r="C176" s="3">
        <f t="shared" ca="1" si="12"/>
        <v>33</v>
      </c>
      <c r="D176" s="3">
        <f t="shared" ca="1" si="13"/>
        <v>2770.64</v>
      </c>
      <c r="E176" s="22">
        <f t="shared" ca="1" si="14"/>
        <v>10311.353354154902</v>
      </c>
    </row>
    <row r="177" spans="1:5" x14ac:dyDescent="0.25">
      <c r="A177" s="21">
        <f t="shared" ca="1" si="10"/>
        <v>272</v>
      </c>
      <c r="B177" s="3">
        <f t="shared" ca="1" si="11"/>
        <v>42</v>
      </c>
      <c r="C177" s="3">
        <f t="shared" ca="1" si="12"/>
        <v>35</v>
      </c>
      <c r="D177" s="3">
        <f t="shared" ca="1" si="13"/>
        <v>1091.04</v>
      </c>
      <c r="E177" s="22">
        <f t="shared" ca="1" si="14"/>
        <v>3307.6473504666255</v>
      </c>
    </row>
    <row r="178" spans="1:5" x14ac:dyDescent="0.25">
      <c r="A178" s="21">
        <f t="shared" ca="1" si="10"/>
        <v>205</v>
      </c>
      <c r="B178" s="3">
        <f t="shared" ca="1" si="11"/>
        <v>45</v>
      </c>
      <c r="C178" s="3">
        <f t="shared" ca="1" si="12"/>
        <v>34</v>
      </c>
      <c r="D178" s="3">
        <f t="shared" ca="1" si="13"/>
        <v>1357.8</v>
      </c>
      <c r="E178" s="22">
        <f t="shared" ca="1" si="14"/>
        <v>4420.0006569347643</v>
      </c>
    </row>
    <row r="179" spans="1:5" x14ac:dyDescent="0.25">
      <c r="A179" s="21">
        <f t="shared" ca="1" si="10"/>
        <v>170</v>
      </c>
      <c r="B179" s="3">
        <f t="shared" ca="1" si="11"/>
        <v>43</v>
      </c>
      <c r="C179" s="3">
        <f t="shared" ca="1" si="12"/>
        <v>29</v>
      </c>
      <c r="D179" s="3">
        <f t="shared" ca="1" si="13"/>
        <v>1452.8</v>
      </c>
      <c r="E179" s="22">
        <f t="shared" ca="1" si="14"/>
        <v>4816.1378743379473</v>
      </c>
    </row>
    <row r="180" spans="1:5" x14ac:dyDescent="0.25">
      <c r="A180" s="21">
        <f t="shared" ca="1" si="10"/>
        <v>201</v>
      </c>
      <c r="B180" s="3">
        <f t="shared" ca="1" si="11"/>
        <v>49</v>
      </c>
      <c r="C180" s="3">
        <f t="shared" ca="1" si="12"/>
        <v>30</v>
      </c>
      <c r="D180" s="3">
        <f t="shared" ca="1" si="13"/>
        <v>2546.44</v>
      </c>
      <c r="E180" s="22">
        <f t="shared" ca="1" si="14"/>
        <v>9376.4695210833925</v>
      </c>
    </row>
    <row r="181" spans="1:5" x14ac:dyDescent="0.25">
      <c r="A181" s="21">
        <f t="shared" ca="1" si="10"/>
        <v>241</v>
      </c>
      <c r="B181" s="3">
        <f t="shared" ca="1" si="11"/>
        <v>44</v>
      </c>
      <c r="C181" s="3">
        <f t="shared" ca="1" si="12"/>
        <v>32</v>
      </c>
      <c r="D181" s="3">
        <f t="shared" ca="1" si="13"/>
        <v>1841.92</v>
      </c>
      <c r="E181" s="22">
        <f t="shared" ca="1" si="14"/>
        <v>6438.7159168213848</v>
      </c>
    </row>
    <row r="182" spans="1:5" x14ac:dyDescent="0.25">
      <c r="A182" s="21">
        <f t="shared" ca="1" si="10"/>
        <v>223</v>
      </c>
      <c r="B182" s="3">
        <f t="shared" ca="1" si="11"/>
        <v>53</v>
      </c>
      <c r="C182" s="3">
        <f t="shared" ca="1" si="12"/>
        <v>26</v>
      </c>
      <c r="D182" s="3">
        <f t="shared" ca="1" si="13"/>
        <v>4219.96</v>
      </c>
      <c r="E182" s="22">
        <f t="shared" ca="1" si="14"/>
        <v>16354.822742857867</v>
      </c>
    </row>
    <row r="183" spans="1:5" x14ac:dyDescent="0.25">
      <c r="A183" s="21">
        <f t="shared" ca="1" si="10"/>
        <v>299</v>
      </c>
      <c r="B183" s="3">
        <f t="shared" ca="1" si="11"/>
        <v>40</v>
      </c>
      <c r="C183" s="3">
        <f t="shared" ca="1" si="12"/>
        <v>29</v>
      </c>
      <c r="D183" s="3">
        <f t="shared" ca="1" si="13"/>
        <v>2143.6400000000003</v>
      </c>
      <c r="E183" s="22">
        <f t="shared" ca="1" si="14"/>
        <v>7696.8477192938972</v>
      </c>
    </row>
    <row r="184" spans="1:5" x14ac:dyDescent="0.25">
      <c r="A184" s="21">
        <f t="shared" ca="1" si="10"/>
        <v>243</v>
      </c>
      <c r="B184" s="3">
        <f t="shared" ca="1" si="11"/>
        <v>49</v>
      </c>
      <c r="C184" s="3">
        <f t="shared" ca="1" si="12"/>
        <v>25</v>
      </c>
      <c r="D184" s="3">
        <f t="shared" ca="1" si="13"/>
        <v>4076.32</v>
      </c>
      <c r="E184" s="22">
        <f t="shared" ca="1" si="14"/>
        <v>15755.863270144253</v>
      </c>
    </row>
    <row r="185" spans="1:5" x14ac:dyDescent="0.25">
      <c r="A185" s="21">
        <f t="shared" ca="1" si="10"/>
        <v>286</v>
      </c>
      <c r="B185" s="3">
        <f t="shared" ca="1" si="11"/>
        <v>43</v>
      </c>
      <c r="C185" s="3">
        <f t="shared" ca="1" si="12"/>
        <v>27</v>
      </c>
      <c r="D185" s="3">
        <f t="shared" ca="1" si="13"/>
        <v>3121.76</v>
      </c>
      <c r="E185" s="22">
        <f t="shared" ca="1" si="14"/>
        <v>11775.476509677068</v>
      </c>
    </row>
    <row r="186" spans="1:5" x14ac:dyDescent="0.25">
      <c r="A186" s="21">
        <f t="shared" ca="1" si="10"/>
        <v>218</v>
      </c>
      <c r="B186" s="3">
        <f t="shared" ca="1" si="11"/>
        <v>41</v>
      </c>
      <c r="C186" s="3">
        <f t="shared" ca="1" si="12"/>
        <v>31</v>
      </c>
      <c r="D186" s="3">
        <f t="shared" ca="1" si="13"/>
        <v>1300.8</v>
      </c>
      <c r="E186" s="22">
        <f t="shared" ca="1" si="14"/>
        <v>4182.3183264928548</v>
      </c>
    </row>
    <row r="187" spans="1:5" x14ac:dyDescent="0.25">
      <c r="A187" s="21">
        <f t="shared" ca="1" si="10"/>
        <v>223</v>
      </c>
      <c r="B187" s="3">
        <f t="shared" ca="1" si="11"/>
        <v>42</v>
      </c>
      <c r="C187" s="3">
        <f t="shared" ca="1" si="12"/>
        <v>32</v>
      </c>
      <c r="D187" s="3">
        <f t="shared" ca="1" si="13"/>
        <v>1338.8</v>
      </c>
      <c r="E187" s="22">
        <f t="shared" ca="1" si="14"/>
        <v>4340.7732134541275</v>
      </c>
    </row>
    <row r="188" spans="1:5" x14ac:dyDescent="0.25">
      <c r="A188" s="21">
        <f t="shared" ca="1" si="10"/>
        <v>241</v>
      </c>
      <c r="B188" s="3">
        <f t="shared" ca="1" si="11"/>
        <v>52</v>
      </c>
      <c r="C188" s="3">
        <f t="shared" ca="1" si="12"/>
        <v>31</v>
      </c>
      <c r="D188" s="3">
        <f t="shared" ca="1" si="13"/>
        <v>3490.36</v>
      </c>
      <c r="E188" s="22">
        <f t="shared" ca="1" si="14"/>
        <v>13312.48891320142</v>
      </c>
    </row>
    <row r="189" spans="1:5" x14ac:dyDescent="0.25">
      <c r="A189" s="21">
        <f t="shared" ca="1" si="10"/>
        <v>283</v>
      </c>
      <c r="B189" s="3">
        <f t="shared" ca="1" si="11"/>
        <v>45</v>
      </c>
      <c r="C189" s="3">
        <f t="shared" ca="1" si="12"/>
        <v>32</v>
      </c>
      <c r="D189" s="3">
        <f t="shared" ca="1" si="13"/>
        <v>2440.04</v>
      </c>
      <c r="E189" s="22">
        <f t="shared" ca="1" si="14"/>
        <v>8932.7958375918279</v>
      </c>
    </row>
    <row r="190" spans="1:5" x14ac:dyDescent="0.25">
      <c r="A190" s="21">
        <f t="shared" ca="1" si="10"/>
        <v>174</v>
      </c>
      <c r="B190" s="3">
        <f t="shared" ca="1" si="11"/>
        <v>46</v>
      </c>
      <c r="C190" s="3">
        <f t="shared" ca="1" si="12"/>
        <v>29</v>
      </c>
      <c r="D190" s="3">
        <f t="shared" ca="1" si="13"/>
        <v>1892.08</v>
      </c>
      <c r="E190" s="22">
        <f t="shared" ca="1" si="14"/>
        <v>6647.8763676102653</v>
      </c>
    </row>
    <row r="191" spans="1:5" x14ac:dyDescent="0.25">
      <c r="A191" s="21">
        <f t="shared" ca="1" si="10"/>
        <v>265</v>
      </c>
      <c r="B191" s="3">
        <f t="shared" ca="1" si="11"/>
        <v>49</v>
      </c>
      <c r="C191" s="3">
        <f t="shared" ca="1" si="12"/>
        <v>32</v>
      </c>
      <c r="D191" s="3">
        <f t="shared" ca="1" si="13"/>
        <v>3067.8</v>
      </c>
      <c r="E191" s="22">
        <f t="shared" ca="1" si="14"/>
        <v>11550.470570192061</v>
      </c>
    </row>
    <row r="192" spans="1:5" x14ac:dyDescent="0.25">
      <c r="A192" s="21">
        <f t="shared" ca="1" si="10"/>
        <v>258</v>
      </c>
      <c r="B192" s="3">
        <f t="shared" ca="1" si="11"/>
        <v>47</v>
      </c>
      <c r="C192" s="3">
        <f t="shared" ca="1" si="12"/>
        <v>29</v>
      </c>
      <c r="D192" s="3">
        <f t="shared" ca="1" si="13"/>
        <v>3173.44</v>
      </c>
      <c r="E192" s="22">
        <f t="shared" ca="1" si="14"/>
        <v>11990.975155944401</v>
      </c>
    </row>
    <row r="193" spans="1:5" x14ac:dyDescent="0.25">
      <c r="A193" s="21">
        <f t="shared" ca="1" si="10"/>
        <v>259</v>
      </c>
      <c r="B193" s="3">
        <f t="shared" ca="1" si="11"/>
        <v>52</v>
      </c>
      <c r="C193" s="3">
        <f t="shared" ca="1" si="12"/>
        <v>32</v>
      </c>
      <c r="D193" s="3">
        <f t="shared" ca="1" si="13"/>
        <v>3580.8</v>
      </c>
      <c r="E193" s="22">
        <f t="shared" ca="1" si="14"/>
        <v>13689.611544169249</v>
      </c>
    </row>
    <row r="194" spans="1:5" x14ac:dyDescent="0.25">
      <c r="A194" s="21">
        <f t="shared" ref="A194:A257" ca="1" si="15">RANDBETWEEN(150,300)</f>
        <v>229</v>
      </c>
      <c r="B194" s="3">
        <f t="shared" ref="B194:B257" ca="1" si="16">RANDBETWEEN(40,55)</f>
        <v>40</v>
      </c>
      <c r="C194" s="3">
        <f t="shared" ref="C194:C257" ca="1" si="17">RANDBETWEEN(25,35)</f>
        <v>26</v>
      </c>
      <c r="D194" s="3">
        <f t="shared" ca="1" si="13"/>
        <v>2080.56</v>
      </c>
      <c r="E194" s="22">
        <f t="shared" ca="1" si="14"/>
        <v>7433.8126069381815</v>
      </c>
    </row>
    <row r="195" spans="1:5" x14ac:dyDescent="0.25">
      <c r="A195" s="21">
        <f t="shared" ca="1" si="15"/>
        <v>177</v>
      </c>
      <c r="B195" s="3">
        <f t="shared" ca="1" si="16"/>
        <v>47</v>
      </c>
      <c r="C195" s="3">
        <f t="shared" ca="1" si="17"/>
        <v>33</v>
      </c>
      <c r="D195" s="3">
        <f t="shared" ref="D195:D258" ca="1" si="18">(A195*(B195-C195)-$N$1-$N$2)*(1-$N$3)+$N$2</f>
        <v>1527.28</v>
      </c>
      <c r="E195" s="22">
        <f t="shared" ref="E195:E258" ca="1" si="19">PV($N$4,$N$5,-D195,$N$6,1)</f>
        <v>5126.7094527820427</v>
      </c>
    </row>
    <row r="196" spans="1:5" x14ac:dyDescent="0.25">
      <c r="A196" s="21">
        <f t="shared" ca="1" si="15"/>
        <v>226</v>
      </c>
      <c r="B196" s="3">
        <f t="shared" ca="1" si="16"/>
        <v>44</v>
      </c>
      <c r="C196" s="3">
        <f t="shared" ca="1" si="17"/>
        <v>25</v>
      </c>
      <c r="D196" s="3">
        <f t="shared" ca="1" si="18"/>
        <v>2907.44</v>
      </c>
      <c r="E196" s="22">
        <f t="shared" ca="1" si="19"/>
        <v>10881.790947215488</v>
      </c>
    </row>
    <row r="197" spans="1:5" x14ac:dyDescent="0.25">
      <c r="A197" s="21">
        <f t="shared" ca="1" si="15"/>
        <v>180</v>
      </c>
      <c r="B197" s="3">
        <f t="shared" ca="1" si="16"/>
        <v>40</v>
      </c>
      <c r="C197" s="3">
        <f t="shared" ca="1" si="17"/>
        <v>31</v>
      </c>
      <c r="D197" s="3">
        <f t="shared" ca="1" si="18"/>
        <v>875.2</v>
      </c>
      <c r="E197" s="22">
        <f t="shared" ca="1" si="19"/>
        <v>2407.6235925265942</v>
      </c>
    </row>
    <row r="198" spans="1:5" x14ac:dyDescent="0.25">
      <c r="A198" s="21">
        <f t="shared" ca="1" si="15"/>
        <v>279</v>
      </c>
      <c r="B198" s="3">
        <f t="shared" ca="1" si="16"/>
        <v>46</v>
      </c>
      <c r="C198" s="3">
        <f t="shared" ca="1" si="17"/>
        <v>29</v>
      </c>
      <c r="D198" s="3">
        <f t="shared" ca="1" si="18"/>
        <v>3248.68</v>
      </c>
      <c r="E198" s="22">
        <f t="shared" ca="1" si="19"/>
        <v>12304.715832127718</v>
      </c>
    </row>
    <row r="199" spans="1:5" x14ac:dyDescent="0.25">
      <c r="A199" s="21">
        <f t="shared" ca="1" si="15"/>
        <v>217</v>
      </c>
      <c r="B199" s="3">
        <f t="shared" ca="1" si="16"/>
        <v>47</v>
      </c>
      <c r="C199" s="3">
        <f t="shared" ca="1" si="17"/>
        <v>32</v>
      </c>
      <c r="D199" s="3">
        <f t="shared" ca="1" si="18"/>
        <v>2117.8000000000002</v>
      </c>
      <c r="E199" s="22">
        <f t="shared" ca="1" si="19"/>
        <v>7589.0983961602296</v>
      </c>
    </row>
    <row r="200" spans="1:5" x14ac:dyDescent="0.25">
      <c r="A200" s="21">
        <f t="shared" ca="1" si="15"/>
        <v>185</v>
      </c>
      <c r="B200" s="3">
        <f t="shared" ca="1" si="16"/>
        <v>54</v>
      </c>
      <c r="C200" s="3">
        <f t="shared" ca="1" si="17"/>
        <v>26</v>
      </c>
      <c r="D200" s="3">
        <f t="shared" ca="1" si="18"/>
        <v>3580.8</v>
      </c>
      <c r="E200" s="22">
        <f t="shared" ca="1" si="19"/>
        <v>13689.611544169249</v>
      </c>
    </row>
    <row r="201" spans="1:5" x14ac:dyDescent="0.25">
      <c r="A201" s="21">
        <f t="shared" ca="1" si="15"/>
        <v>271</v>
      </c>
      <c r="B201" s="3">
        <f t="shared" ca="1" si="16"/>
        <v>54</v>
      </c>
      <c r="C201" s="3">
        <f t="shared" ca="1" si="17"/>
        <v>33</v>
      </c>
      <c r="D201" s="3">
        <f t="shared" ca="1" si="18"/>
        <v>3969.16</v>
      </c>
      <c r="E201" s="22">
        <f t="shared" ca="1" si="19"/>
        <v>15309.020488913462</v>
      </c>
    </row>
    <row r="202" spans="1:5" x14ac:dyDescent="0.25">
      <c r="A202" s="21">
        <f t="shared" ca="1" si="15"/>
        <v>212</v>
      </c>
      <c r="B202" s="3">
        <f t="shared" ca="1" si="16"/>
        <v>42</v>
      </c>
      <c r="C202" s="3">
        <f t="shared" ca="1" si="17"/>
        <v>33</v>
      </c>
      <c r="D202" s="3">
        <f t="shared" ca="1" si="18"/>
        <v>1094.08</v>
      </c>
      <c r="E202" s="22">
        <f t="shared" ca="1" si="19"/>
        <v>3320.3237414235277</v>
      </c>
    </row>
    <row r="203" spans="1:5" x14ac:dyDescent="0.25">
      <c r="A203" s="21">
        <f t="shared" ca="1" si="15"/>
        <v>209</v>
      </c>
      <c r="B203" s="3">
        <f t="shared" ca="1" si="16"/>
        <v>42</v>
      </c>
      <c r="C203" s="3">
        <f t="shared" ca="1" si="17"/>
        <v>28</v>
      </c>
      <c r="D203" s="3">
        <f t="shared" ca="1" si="18"/>
        <v>1867.76</v>
      </c>
      <c r="E203" s="22">
        <f t="shared" ca="1" si="19"/>
        <v>6546.4652399550514</v>
      </c>
    </row>
    <row r="204" spans="1:5" x14ac:dyDescent="0.25">
      <c r="A204" s="21">
        <f t="shared" ca="1" si="15"/>
        <v>284</v>
      </c>
      <c r="B204" s="3">
        <f t="shared" ca="1" si="16"/>
        <v>52</v>
      </c>
      <c r="C204" s="3">
        <f t="shared" ca="1" si="17"/>
        <v>30</v>
      </c>
      <c r="D204" s="3">
        <f t="shared" ca="1" si="18"/>
        <v>4392.4800000000005</v>
      </c>
      <c r="E204" s="22">
        <f t="shared" ca="1" si="19"/>
        <v>17074.207929662047</v>
      </c>
    </row>
    <row r="205" spans="1:5" x14ac:dyDescent="0.25">
      <c r="A205" s="21">
        <f t="shared" ca="1" si="15"/>
        <v>269</v>
      </c>
      <c r="B205" s="3">
        <f t="shared" ca="1" si="16"/>
        <v>51</v>
      </c>
      <c r="C205" s="3">
        <f t="shared" ca="1" si="17"/>
        <v>30</v>
      </c>
      <c r="D205" s="3">
        <f t="shared" ca="1" si="18"/>
        <v>3937.2400000000002</v>
      </c>
      <c r="E205" s="22">
        <f t="shared" ca="1" si="19"/>
        <v>15175.918383865994</v>
      </c>
    </row>
    <row r="206" spans="1:5" x14ac:dyDescent="0.25">
      <c r="A206" s="21">
        <f t="shared" ca="1" si="15"/>
        <v>280</v>
      </c>
      <c r="B206" s="3">
        <f t="shared" ca="1" si="16"/>
        <v>52</v>
      </c>
      <c r="C206" s="3">
        <f t="shared" ca="1" si="17"/>
        <v>28</v>
      </c>
      <c r="D206" s="3">
        <f t="shared" ca="1" si="18"/>
        <v>4751.2</v>
      </c>
      <c r="E206" s="22">
        <f t="shared" ca="1" si="19"/>
        <v>18570.022062576467</v>
      </c>
    </row>
    <row r="207" spans="1:5" x14ac:dyDescent="0.25">
      <c r="A207" s="21">
        <f t="shared" ca="1" si="15"/>
        <v>265</v>
      </c>
      <c r="B207" s="3">
        <f t="shared" ca="1" si="16"/>
        <v>45</v>
      </c>
      <c r="C207" s="3">
        <f t="shared" ca="1" si="17"/>
        <v>29</v>
      </c>
      <c r="D207" s="3">
        <f t="shared" ca="1" si="18"/>
        <v>2866.4</v>
      </c>
      <c r="E207" s="22">
        <f t="shared" ca="1" si="19"/>
        <v>10710.659669297313</v>
      </c>
    </row>
    <row r="208" spans="1:5" x14ac:dyDescent="0.25">
      <c r="A208" s="21">
        <f t="shared" ca="1" si="15"/>
        <v>241</v>
      </c>
      <c r="B208" s="3">
        <f t="shared" ca="1" si="16"/>
        <v>46</v>
      </c>
      <c r="C208" s="3">
        <f t="shared" ca="1" si="17"/>
        <v>33</v>
      </c>
      <c r="D208" s="3">
        <f t="shared" ca="1" si="18"/>
        <v>2025.08</v>
      </c>
      <c r="E208" s="22">
        <f t="shared" ca="1" si="19"/>
        <v>7202.468471974722</v>
      </c>
    </row>
    <row r="209" spans="1:5" x14ac:dyDescent="0.25">
      <c r="A209" s="21">
        <f t="shared" ca="1" si="15"/>
        <v>226</v>
      </c>
      <c r="B209" s="3">
        <f t="shared" ca="1" si="16"/>
        <v>47</v>
      </c>
      <c r="C209" s="3">
        <f t="shared" ca="1" si="17"/>
        <v>34</v>
      </c>
      <c r="D209" s="3">
        <f t="shared" ca="1" si="18"/>
        <v>1876.88</v>
      </c>
      <c r="E209" s="22">
        <f t="shared" ca="1" si="19"/>
        <v>6584.4944128257566</v>
      </c>
    </row>
    <row r="210" spans="1:5" x14ac:dyDescent="0.25">
      <c r="A210" s="21">
        <f t="shared" ca="1" si="15"/>
        <v>228</v>
      </c>
      <c r="B210" s="3">
        <f t="shared" ca="1" si="16"/>
        <v>54</v>
      </c>
      <c r="C210" s="3">
        <f t="shared" ca="1" si="17"/>
        <v>26</v>
      </c>
      <c r="D210" s="3">
        <f t="shared" ca="1" si="18"/>
        <v>4495.84</v>
      </c>
      <c r="E210" s="22">
        <f t="shared" ca="1" si="19"/>
        <v>17505.20522219671</v>
      </c>
    </row>
    <row r="211" spans="1:5" x14ac:dyDescent="0.25">
      <c r="A211" s="21">
        <f t="shared" ca="1" si="15"/>
        <v>220</v>
      </c>
      <c r="B211" s="3">
        <f t="shared" ca="1" si="16"/>
        <v>52</v>
      </c>
      <c r="C211" s="3">
        <f t="shared" ca="1" si="17"/>
        <v>25</v>
      </c>
      <c r="D211" s="3">
        <f t="shared" ca="1" si="18"/>
        <v>4158.3999999999996</v>
      </c>
      <c r="E211" s="22">
        <f t="shared" ca="1" si="19"/>
        <v>16098.1258259806</v>
      </c>
    </row>
    <row r="212" spans="1:5" x14ac:dyDescent="0.25">
      <c r="A212" s="21">
        <f t="shared" ca="1" si="15"/>
        <v>151</v>
      </c>
      <c r="B212" s="3">
        <f t="shared" ca="1" si="16"/>
        <v>46</v>
      </c>
      <c r="C212" s="3">
        <f t="shared" ca="1" si="17"/>
        <v>33</v>
      </c>
      <c r="D212" s="3">
        <f t="shared" ca="1" si="18"/>
        <v>1135.8800000000001</v>
      </c>
      <c r="E212" s="22">
        <f t="shared" ca="1" si="19"/>
        <v>3494.6241170809285</v>
      </c>
    </row>
    <row r="213" spans="1:5" x14ac:dyDescent="0.25">
      <c r="A213" s="21">
        <f t="shared" ca="1" si="15"/>
        <v>161</v>
      </c>
      <c r="B213" s="3">
        <f t="shared" ca="1" si="16"/>
        <v>49</v>
      </c>
      <c r="C213" s="3">
        <f t="shared" ca="1" si="17"/>
        <v>30</v>
      </c>
      <c r="D213" s="3">
        <f t="shared" ca="1" si="18"/>
        <v>1968.84</v>
      </c>
      <c r="E213" s="22">
        <f t="shared" ca="1" si="19"/>
        <v>6967.9552392720379</v>
      </c>
    </row>
    <row r="214" spans="1:5" x14ac:dyDescent="0.25">
      <c r="A214" s="21">
        <f t="shared" ca="1" si="15"/>
        <v>214</v>
      </c>
      <c r="B214" s="3">
        <f t="shared" ca="1" si="16"/>
        <v>50</v>
      </c>
      <c r="C214" s="3">
        <f t="shared" ca="1" si="17"/>
        <v>27</v>
      </c>
      <c r="D214" s="3">
        <f t="shared" ca="1" si="18"/>
        <v>3384.7200000000003</v>
      </c>
      <c r="E214" s="22">
        <f t="shared" ca="1" si="19"/>
        <v>12871.98432744908</v>
      </c>
    </row>
    <row r="215" spans="1:5" x14ac:dyDescent="0.25">
      <c r="A215" s="21">
        <f t="shared" ca="1" si="15"/>
        <v>270</v>
      </c>
      <c r="B215" s="3">
        <f t="shared" ca="1" si="16"/>
        <v>52</v>
      </c>
      <c r="C215" s="3">
        <f t="shared" ca="1" si="17"/>
        <v>29</v>
      </c>
      <c r="D215" s="3">
        <f t="shared" ca="1" si="18"/>
        <v>4363.6000000000004</v>
      </c>
      <c r="E215" s="22">
        <f t="shared" ca="1" si="19"/>
        <v>16953.782215571478</v>
      </c>
    </row>
    <row r="216" spans="1:5" x14ac:dyDescent="0.25">
      <c r="A216" s="21">
        <f t="shared" ca="1" si="15"/>
        <v>242</v>
      </c>
      <c r="B216" s="3">
        <f t="shared" ca="1" si="16"/>
        <v>54</v>
      </c>
      <c r="C216" s="3">
        <f t="shared" ca="1" si="17"/>
        <v>31</v>
      </c>
      <c r="D216" s="3">
        <f t="shared" ca="1" si="18"/>
        <v>3874.16</v>
      </c>
      <c r="E216" s="22">
        <f t="shared" ca="1" si="19"/>
        <v>14912.883271510278</v>
      </c>
    </row>
    <row r="217" spans="1:5" x14ac:dyDescent="0.25">
      <c r="A217" s="21">
        <f t="shared" ca="1" si="15"/>
        <v>189</v>
      </c>
      <c r="B217" s="3">
        <f t="shared" ca="1" si="16"/>
        <v>54</v>
      </c>
      <c r="C217" s="3">
        <f t="shared" ca="1" si="17"/>
        <v>34</v>
      </c>
      <c r="D217" s="3">
        <f t="shared" ca="1" si="18"/>
        <v>2516.8000000000002</v>
      </c>
      <c r="E217" s="22">
        <f t="shared" ca="1" si="19"/>
        <v>9252.8747092535996</v>
      </c>
    </row>
    <row r="218" spans="1:5" x14ac:dyDescent="0.25">
      <c r="A218" s="21">
        <f t="shared" ca="1" si="15"/>
        <v>265</v>
      </c>
      <c r="B218" s="3">
        <f t="shared" ca="1" si="16"/>
        <v>54</v>
      </c>
      <c r="C218" s="3">
        <f t="shared" ca="1" si="17"/>
        <v>26</v>
      </c>
      <c r="D218" s="3">
        <f t="shared" ca="1" si="18"/>
        <v>5283.2</v>
      </c>
      <c r="E218" s="22">
        <f t="shared" ca="1" si="19"/>
        <v>20788.390480034286</v>
      </c>
    </row>
    <row r="219" spans="1:5" x14ac:dyDescent="0.25">
      <c r="A219" s="21">
        <f t="shared" ca="1" si="15"/>
        <v>215</v>
      </c>
      <c r="B219" s="3">
        <f t="shared" ca="1" si="16"/>
        <v>50</v>
      </c>
      <c r="C219" s="3">
        <f t="shared" ca="1" si="17"/>
        <v>31</v>
      </c>
      <c r="D219" s="3">
        <f t="shared" ca="1" si="18"/>
        <v>2748.6</v>
      </c>
      <c r="E219" s="22">
        <f t="shared" ca="1" si="19"/>
        <v>10219.449519717366</v>
      </c>
    </row>
    <row r="220" spans="1:5" x14ac:dyDescent="0.25">
      <c r="A220" s="21">
        <f t="shared" ca="1" si="15"/>
        <v>175</v>
      </c>
      <c r="B220" s="3">
        <f t="shared" ca="1" si="16"/>
        <v>44</v>
      </c>
      <c r="C220" s="3">
        <f t="shared" ca="1" si="17"/>
        <v>29</v>
      </c>
      <c r="D220" s="3">
        <f t="shared" ca="1" si="18"/>
        <v>1639</v>
      </c>
      <c r="E220" s="22">
        <f t="shared" ca="1" si="19"/>
        <v>5592.5668204481863</v>
      </c>
    </row>
    <row r="221" spans="1:5" x14ac:dyDescent="0.25">
      <c r="A221" s="21">
        <f t="shared" ca="1" si="15"/>
        <v>174</v>
      </c>
      <c r="B221" s="3">
        <f t="shared" ca="1" si="16"/>
        <v>47</v>
      </c>
      <c r="C221" s="3">
        <f t="shared" ca="1" si="17"/>
        <v>32</v>
      </c>
      <c r="D221" s="3">
        <f t="shared" ca="1" si="18"/>
        <v>1627.6</v>
      </c>
      <c r="E221" s="22">
        <f t="shared" ca="1" si="19"/>
        <v>5545.0303543598038</v>
      </c>
    </row>
    <row r="222" spans="1:5" x14ac:dyDescent="0.25">
      <c r="A222" s="21">
        <f t="shared" ca="1" si="15"/>
        <v>163</v>
      </c>
      <c r="B222" s="3">
        <f t="shared" ca="1" si="16"/>
        <v>51</v>
      </c>
      <c r="C222" s="3">
        <f t="shared" ca="1" si="17"/>
        <v>32</v>
      </c>
      <c r="D222" s="3">
        <f t="shared" ca="1" si="18"/>
        <v>1997.72</v>
      </c>
      <c r="E222" s="22">
        <f t="shared" ca="1" si="19"/>
        <v>7088.3809533626054</v>
      </c>
    </row>
    <row r="223" spans="1:5" x14ac:dyDescent="0.25">
      <c r="A223" s="21">
        <f t="shared" ca="1" si="15"/>
        <v>164</v>
      </c>
      <c r="B223" s="3">
        <f t="shared" ca="1" si="16"/>
        <v>55</v>
      </c>
      <c r="C223" s="3">
        <f t="shared" ca="1" si="17"/>
        <v>27</v>
      </c>
      <c r="D223" s="3">
        <f t="shared" ca="1" si="18"/>
        <v>3133.92</v>
      </c>
      <c r="E223" s="22">
        <f t="shared" ca="1" si="19"/>
        <v>11826.182073504677</v>
      </c>
    </row>
    <row r="224" spans="1:5" x14ac:dyDescent="0.25">
      <c r="A224" s="21">
        <f t="shared" ca="1" si="15"/>
        <v>190</v>
      </c>
      <c r="B224" s="3">
        <f t="shared" ca="1" si="16"/>
        <v>42</v>
      </c>
      <c r="C224" s="3">
        <f t="shared" ca="1" si="17"/>
        <v>26</v>
      </c>
      <c r="D224" s="3">
        <f t="shared" ca="1" si="18"/>
        <v>1954.4</v>
      </c>
      <c r="E224" s="22">
        <f t="shared" ca="1" si="19"/>
        <v>6907.7423822267547</v>
      </c>
    </row>
    <row r="225" spans="1:5" x14ac:dyDescent="0.25">
      <c r="A225" s="21">
        <f t="shared" ca="1" si="15"/>
        <v>255</v>
      </c>
      <c r="B225" s="3">
        <f t="shared" ca="1" si="16"/>
        <v>42</v>
      </c>
      <c r="C225" s="3">
        <f t="shared" ca="1" si="17"/>
        <v>32</v>
      </c>
      <c r="D225" s="3">
        <f t="shared" ca="1" si="18"/>
        <v>1582</v>
      </c>
      <c r="E225" s="22">
        <f t="shared" ca="1" si="19"/>
        <v>5354.8844900062768</v>
      </c>
    </row>
    <row r="226" spans="1:5" x14ac:dyDescent="0.25">
      <c r="A226" s="21">
        <f t="shared" ca="1" si="15"/>
        <v>275</v>
      </c>
      <c r="B226" s="3">
        <f t="shared" ca="1" si="16"/>
        <v>47</v>
      </c>
      <c r="C226" s="3">
        <f t="shared" ca="1" si="17"/>
        <v>26</v>
      </c>
      <c r="D226" s="3">
        <f t="shared" ca="1" si="18"/>
        <v>4033</v>
      </c>
      <c r="E226" s="22">
        <f t="shared" ca="1" si="19"/>
        <v>15575.224699008402</v>
      </c>
    </row>
    <row r="227" spans="1:5" x14ac:dyDescent="0.25">
      <c r="A227" s="21">
        <f t="shared" ca="1" si="15"/>
        <v>187</v>
      </c>
      <c r="B227" s="3">
        <f t="shared" ca="1" si="16"/>
        <v>55</v>
      </c>
      <c r="C227" s="3">
        <f t="shared" ca="1" si="17"/>
        <v>35</v>
      </c>
      <c r="D227" s="3">
        <f t="shared" ca="1" si="18"/>
        <v>2486.4</v>
      </c>
      <c r="E227" s="22">
        <f t="shared" ca="1" si="19"/>
        <v>9126.1107996845803</v>
      </c>
    </row>
    <row r="228" spans="1:5" x14ac:dyDescent="0.25">
      <c r="A228" s="21">
        <f t="shared" ca="1" si="15"/>
        <v>195</v>
      </c>
      <c r="B228" s="3">
        <f t="shared" ca="1" si="16"/>
        <v>54</v>
      </c>
      <c r="C228" s="3">
        <f t="shared" ca="1" si="17"/>
        <v>34</v>
      </c>
      <c r="D228" s="3">
        <f t="shared" ca="1" si="18"/>
        <v>2608</v>
      </c>
      <c r="E228" s="22">
        <f t="shared" ca="1" si="19"/>
        <v>9633.1664379606555</v>
      </c>
    </row>
    <row r="229" spans="1:5" x14ac:dyDescent="0.25">
      <c r="A229" s="21">
        <f t="shared" ca="1" si="15"/>
        <v>270</v>
      </c>
      <c r="B229" s="3">
        <f t="shared" ca="1" si="16"/>
        <v>49</v>
      </c>
      <c r="C229" s="3">
        <f t="shared" ca="1" si="17"/>
        <v>33</v>
      </c>
      <c r="D229" s="3">
        <f t="shared" ca="1" si="18"/>
        <v>2927.2</v>
      </c>
      <c r="E229" s="22">
        <f t="shared" ca="1" si="19"/>
        <v>10964.187488435349</v>
      </c>
    </row>
    <row r="230" spans="1:5" x14ac:dyDescent="0.25">
      <c r="A230" s="21">
        <f t="shared" ca="1" si="15"/>
        <v>185</v>
      </c>
      <c r="B230" s="3">
        <f t="shared" ca="1" si="16"/>
        <v>47</v>
      </c>
      <c r="C230" s="3">
        <f t="shared" ca="1" si="17"/>
        <v>34</v>
      </c>
      <c r="D230" s="3">
        <f t="shared" ca="1" si="18"/>
        <v>1471.8</v>
      </c>
      <c r="E230" s="22">
        <f t="shared" ca="1" si="19"/>
        <v>4895.3653178185832</v>
      </c>
    </row>
    <row r="231" spans="1:5" x14ac:dyDescent="0.25">
      <c r="A231" s="21">
        <f t="shared" ca="1" si="15"/>
        <v>255</v>
      </c>
      <c r="B231" s="3">
        <f t="shared" ca="1" si="16"/>
        <v>44</v>
      </c>
      <c r="C231" s="3">
        <f t="shared" ca="1" si="17"/>
        <v>27</v>
      </c>
      <c r="D231" s="3">
        <f t="shared" ca="1" si="18"/>
        <v>2938.6</v>
      </c>
      <c r="E231" s="22">
        <f t="shared" ca="1" si="19"/>
        <v>11011.72395452373</v>
      </c>
    </row>
    <row r="232" spans="1:5" x14ac:dyDescent="0.25">
      <c r="A232" s="21">
        <f t="shared" ca="1" si="15"/>
        <v>216</v>
      </c>
      <c r="B232" s="3">
        <f t="shared" ca="1" si="16"/>
        <v>50</v>
      </c>
      <c r="C232" s="3">
        <f t="shared" ca="1" si="17"/>
        <v>33</v>
      </c>
      <c r="D232" s="3">
        <f t="shared" ca="1" si="18"/>
        <v>2434.7200000000003</v>
      </c>
      <c r="E232" s="22">
        <f t="shared" ca="1" si="19"/>
        <v>8910.6121534172489</v>
      </c>
    </row>
    <row r="233" spans="1:5" x14ac:dyDescent="0.25">
      <c r="A233" s="21">
        <f t="shared" ca="1" si="15"/>
        <v>190</v>
      </c>
      <c r="B233" s="3">
        <f t="shared" ca="1" si="16"/>
        <v>43</v>
      </c>
      <c r="C233" s="3">
        <f t="shared" ca="1" si="17"/>
        <v>26</v>
      </c>
      <c r="D233" s="3">
        <f t="shared" ca="1" si="18"/>
        <v>2098.8000000000002</v>
      </c>
      <c r="E233" s="22">
        <f t="shared" ca="1" si="19"/>
        <v>7509.8709526795928</v>
      </c>
    </row>
    <row r="234" spans="1:5" x14ac:dyDescent="0.25">
      <c r="A234" s="21">
        <f t="shared" ca="1" si="15"/>
        <v>277</v>
      </c>
      <c r="B234" s="3">
        <f t="shared" ca="1" si="16"/>
        <v>50</v>
      </c>
      <c r="C234" s="3">
        <f t="shared" ca="1" si="17"/>
        <v>28</v>
      </c>
      <c r="D234" s="3">
        <f t="shared" ca="1" si="18"/>
        <v>4275.4399999999996</v>
      </c>
      <c r="E234" s="22">
        <f t="shared" ca="1" si="19"/>
        <v>16586.166877821324</v>
      </c>
    </row>
    <row r="235" spans="1:5" x14ac:dyDescent="0.25">
      <c r="A235" s="21">
        <f t="shared" ca="1" si="15"/>
        <v>238</v>
      </c>
      <c r="B235" s="3">
        <f t="shared" ca="1" si="16"/>
        <v>41</v>
      </c>
      <c r="C235" s="3">
        <f t="shared" ca="1" si="17"/>
        <v>33</v>
      </c>
      <c r="D235" s="3">
        <f t="shared" ca="1" si="18"/>
        <v>1091.04</v>
      </c>
      <c r="E235" s="22">
        <f t="shared" ca="1" si="19"/>
        <v>3307.6473504666255</v>
      </c>
    </row>
    <row r="236" spans="1:5" x14ac:dyDescent="0.25">
      <c r="A236" s="21">
        <f t="shared" ca="1" si="15"/>
        <v>249</v>
      </c>
      <c r="B236" s="3">
        <f t="shared" ca="1" si="16"/>
        <v>55</v>
      </c>
      <c r="C236" s="3">
        <f t="shared" ca="1" si="17"/>
        <v>29</v>
      </c>
      <c r="D236" s="3">
        <f t="shared" ca="1" si="18"/>
        <v>4564.24</v>
      </c>
      <c r="E236" s="22">
        <f t="shared" ca="1" si="19"/>
        <v>17790.424018727001</v>
      </c>
    </row>
    <row r="237" spans="1:5" x14ac:dyDescent="0.25">
      <c r="A237" s="21">
        <f t="shared" ca="1" si="15"/>
        <v>275</v>
      </c>
      <c r="B237" s="3">
        <f t="shared" ca="1" si="16"/>
        <v>50</v>
      </c>
      <c r="C237" s="3">
        <f t="shared" ca="1" si="17"/>
        <v>27</v>
      </c>
      <c r="D237" s="3">
        <f t="shared" ca="1" si="18"/>
        <v>4451</v>
      </c>
      <c r="E237" s="22">
        <f t="shared" ca="1" si="19"/>
        <v>17318.228455582404</v>
      </c>
    </row>
    <row r="238" spans="1:5" x14ac:dyDescent="0.25">
      <c r="A238" s="21">
        <f t="shared" ca="1" si="15"/>
        <v>174</v>
      </c>
      <c r="B238" s="3">
        <f t="shared" ca="1" si="16"/>
        <v>45</v>
      </c>
      <c r="C238" s="3">
        <f t="shared" ca="1" si="17"/>
        <v>30</v>
      </c>
      <c r="D238" s="3">
        <f t="shared" ca="1" si="18"/>
        <v>1627.6</v>
      </c>
      <c r="E238" s="22">
        <f t="shared" ca="1" si="19"/>
        <v>5545.0303543598038</v>
      </c>
    </row>
    <row r="239" spans="1:5" x14ac:dyDescent="0.25">
      <c r="A239" s="21">
        <f t="shared" ca="1" si="15"/>
        <v>299</v>
      </c>
      <c r="B239" s="3">
        <f t="shared" ca="1" si="16"/>
        <v>45</v>
      </c>
      <c r="C239" s="3">
        <f t="shared" ca="1" si="17"/>
        <v>30</v>
      </c>
      <c r="D239" s="3">
        <f t="shared" ca="1" si="18"/>
        <v>3052.6</v>
      </c>
      <c r="E239" s="22">
        <f t="shared" ca="1" si="19"/>
        <v>11487.088615407551</v>
      </c>
    </row>
    <row r="240" spans="1:5" x14ac:dyDescent="0.25">
      <c r="A240" s="21">
        <f t="shared" ca="1" si="15"/>
        <v>154</v>
      </c>
      <c r="B240" s="3">
        <f t="shared" ca="1" si="16"/>
        <v>49</v>
      </c>
      <c r="C240" s="3">
        <f t="shared" ca="1" si="17"/>
        <v>29</v>
      </c>
      <c r="D240" s="3">
        <f t="shared" ca="1" si="18"/>
        <v>1984.8</v>
      </c>
      <c r="E240" s="22">
        <f t="shared" ca="1" si="19"/>
        <v>7034.5062917957721</v>
      </c>
    </row>
    <row r="241" spans="1:5" x14ac:dyDescent="0.25">
      <c r="A241" s="21">
        <f t="shared" ca="1" si="15"/>
        <v>278</v>
      </c>
      <c r="B241" s="3">
        <f t="shared" ca="1" si="16"/>
        <v>45</v>
      </c>
      <c r="C241" s="3">
        <f t="shared" ca="1" si="17"/>
        <v>31</v>
      </c>
      <c r="D241" s="3">
        <f t="shared" ca="1" si="18"/>
        <v>2601.92</v>
      </c>
      <c r="E241" s="22">
        <f t="shared" ca="1" si="19"/>
        <v>9607.813656046852</v>
      </c>
    </row>
    <row r="242" spans="1:5" x14ac:dyDescent="0.25">
      <c r="A242" s="21">
        <f t="shared" ca="1" si="15"/>
        <v>216</v>
      </c>
      <c r="B242" s="3">
        <f t="shared" ca="1" si="16"/>
        <v>53</v>
      </c>
      <c r="C242" s="3">
        <f t="shared" ca="1" si="17"/>
        <v>34</v>
      </c>
      <c r="D242" s="3">
        <f t="shared" ca="1" si="18"/>
        <v>2763.04</v>
      </c>
      <c r="E242" s="22">
        <f t="shared" ca="1" si="19"/>
        <v>10279.662376762648</v>
      </c>
    </row>
    <row r="243" spans="1:5" x14ac:dyDescent="0.25">
      <c r="A243" s="21">
        <f t="shared" ca="1" si="15"/>
        <v>264</v>
      </c>
      <c r="B243" s="3">
        <f t="shared" ca="1" si="16"/>
        <v>49</v>
      </c>
      <c r="C243" s="3">
        <f t="shared" ca="1" si="17"/>
        <v>30</v>
      </c>
      <c r="D243" s="3">
        <f t="shared" ca="1" si="18"/>
        <v>3456.16</v>
      </c>
      <c r="E243" s="22">
        <f t="shared" ca="1" si="19"/>
        <v>13169.879514936274</v>
      </c>
    </row>
    <row r="244" spans="1:5" x14ac:dyDescent="0.25">
      <c r="A244" s="21">
        <f t="shared" ca="1" si="15"/>
        <v>238</v>
      </c>
      <c r="B244" s="3">
        <f t="shared" ca="1" si="16"/>
        <v>51</v>
      </c>
      <c r="C244" s="3">
        <f t="shared" ca="1" si="17"/>
        <v>27</v>
      </c>
      <c r="D244" s="3">
        <f t="shared" ca="1" si="18"/>
        <v>3985.12</v>
      </c>
      <c r="E244" s="22">
        <f t="shared" ca="1" si="19"/>
        <v>15375.571541437195</v>
      </c>
    </row>
    <row r="245" spans="1:5" x14ac:dyDescent="0.25">
      <c r="A245" s="21">
        <f t="shared" ca="1" si="15"/>
        <v>183</v>
      </c>
      <c r="B245" s="3">
        <f t="shared" ca="1" si="16"/>
        <v>48</v>
      </c>
      <c r="C245" s="3">
        <f t="shared" ca="1" si="17"/>
        <v>25</v>
      </c>
      <c r="D245" s="3">
        <f t="shared" ca="1" si="18"/>
        <v>2842.84</v>
      </c>
      <c r="E245" s="22">
        <f t="shared" ca="1" si="19"/>
        <v>10612.417639381323</v>
      </c>
    </row>
    <row r="246" spans="1:5" x14ac:dyDescent="0.25">
      <c r="A246" s="21">
        <f t="shared" ca="1" si="15"/>
        <v>300</v>
      </c>
      <c r="B246" s="3">
        <f t="shared" ca="1" si="16"/>
        <v>44</v>
      </c>
      <c r="C246" s="3">
        <f t="shared" ca="1" si="17"/>
        <v>34</v>
      </c>
      <c r="D246" s="3">
        <f t="shared" ca="1" si="18"/>
        <v>1924</v>
      </c>
      <c r="E246" s="22">
        <f t="shared" ca="1" si="19"/>
        <v>6780.9784726577354</v>
      </c>
    </row>
    <row r="247" spans="1:5" x14ac:dyDescent="0.25">
      <c r="A247" s="21">
        <f t="shared" ca="1" si="15"/>
        <v>163</v>
      </c>
      <c r="B247" s="3">
        <f t="shared" ca="1" si="16"/>
        <v>50</v>
      </c>
      <c r="C247" s="3">
        <f t="shared" ca="1" si="17"/>
        <v>31</v>
      </c>
      <c r="D247" s="3">
        <f t="shared" ca="1" si="18"/>
        <v>1997.72</v>
      </c>
      <c r="E247" s="22">
        <f t="shared" ca="1" si="19"/>
        <v>7088.3809533626054</v>
      </c>
    </row>
    <row r="248" spans="1:5" x14ac:dyDescent="0.25">
      <c r="A248" s="21">
        <f t="shared" ca="1" si="15"/>
        <v>251</v>
      </c>
      <c r="B248" s="3">
        <f t="shared" ca="1" si="16"/>
        <v>53</v>
      </c>
      <c r="C248" s="3">
        <f t="shared" ca="1" si="17"/>
        <v>25</v>
      </c>
      <c r="D248" s="3">
        <f t="shared" ca="1" si="18"/>
        <v>4985.28</v>
      </c>
      <c r="E248" s="22">
        <f t="shared" ca="1" si="19"/>
        <v>19546.104166257908</v>
      </c>
    </row>
    <row r="249" spans="1:5" x14ac:dyDescent="0.25">
      <c r="A249" s="21">
        <f t="shared" ca="1" si="15"/>
        <v>260</v>
      </c>
      <c r="B249" s="3">
        <f t="shared" ca="1" si="16"/>
        <v>50</v>
      </c>
      <c r="C249" s="3">
        <f t="shared" ca="1" si="17"/>
        <v>25</v>
      </c>
      <c r="D249" s="3">
        <f t="shared" ca="1" si="18"/>
        <v>4584</v>
      </c>
      <c r="E249" s="22">
        <f t="shared" ca="1" si="19"/>
        <v>17872.820559946864</v>
      </c>
    </row>
    <row r="250" spans="1:5" x14ac:dyDescent="0.25">
      <c r="A250" s="21">
        <f t="shared" ca="1" si="15"/>
        <v>215</v>
      </c>
      <c r="B250" s="3">
        <f t="shared" ca="1" si="16"/>
        <v>50</v>
      </c>
      <c r="C250" s="3">
        <f t="shared" ca="1" si="17"/>
        <v>26</v>
      </c>
      <c r="D250" s="3">
        <f t="shared" ca="1" si="18"/>
        <v>3565.6</v>
      </c>
      <c r="E250" s="22">
        <f t="shared" ca="1" si="19"/>
        <v>13626.229589384739</v>
      </c>
    </row>
    <row r="251" spans="1:5" x14ac:dyDescent="0.25">
      <c r="A251" s="21">
        <f t="shared" ca="1" si="15"/>
        <v>180</v>
      </c>
      <c r="B251" s="3">
        <f t="shared" ca="1" si="16"/>
        <v>53</v>
      </c>
      <c r="C251" s="3">
        <f t="shared" ca="1" si="17"/>
        <v>30</v>
      </c>
      <c r="D251" s="3">
        <f t="shared" ca="1" si="18"/>
        <v>2790.4</v>
      </c>
      <c r="E251" s="22">
        <f t="shared" ca="1" si="19"/>
        <v>10393.749895374767</v>
      </c>
    </row>
    <row r="252" spans="1:5" x14ac:dyDescent="0.25">
      <c r="A252" s="21">
        <f t="shared" ca="1" si="15"/>
        <v>275</v>
      </c>
      <c r="B252" s="3">
        <f t="shared" ca="1" si="16"/>
        <v>43</v>
      </c>
      <c r="C252" s="3">
        <f t="shared" ca="1" si="17"/>
        <v>27</v>
      </c>
      <c r="D252" s="3">
        <f t="shared" ca="1" si="18"/>
        <v>2988</v>
      </c>
      <c r="E252" s="22">
        <f t="shared" ca="1" si="19"/>
        <v>11217.715307573386</v>
      </c>
    </row>
    <row r="253" spans="1:5" x14ac:dyDescent="0.25">
      <c r="A253" s="21">
        <f t="shared" ca="1" si="15"/>
        <v>223</v>
      </c>
      <c r="B253" s="3">
        <f t="shared" ca="1" si="16"/>
        <v>44</v>
      </c>
      <c r="C253" s="3">
        <f t="shared" ca="1" si="17"/>
        <v>29</v>
      </c>
      <c r="D253" s="3">
        <f t="shared" ca="1" si="18"/>
        <v>2186.1999999999998</v>
      </c>
      <c r="E253" s="22">
        <f t="shared" ca="1" si="19"/>
        <v>7874.3171926905206</v>
      </c>
    </row>
    <row r="254" spans="1:5" x14ac:dyDescent="0.25">
      <c r="A254" s="21">
        <f t="shared" ca="1" si="15"/>
        <v>192</v>
      </c>
      <c r="B254" s="3">
        <f t="shared" ca="1" si="16"/>
        <v>40</v>
      </c>
      <c r="C254" s="3">
        <f t="shared" ca="1" si="17"/>
        <v>31</v>
      </c>
      <c r="D254" s="3">
        <f t="shared" ca="1" si="18"/>
        <v>957.28</v>
      </c>
      <c r="E254" s="22">
        <f t="shared" ca="1" si="19"/>
        <v>2749.8861483629439</v>
      </c>
    </row>
    <row r="255" spans="1:5" x14ac:dyDescent="0.25">
      <c r="A255" s="21">
        <f t="shared" ca="1" si="15"/>
        <v>208</v>
      </c>
      <c r="B255" s="3">
        <f t="shared" ca="1" si="16"/>
        <v>40</v>
      </c>
      <c r="C255" s="3">
        <f t="shared" ca="1" si="17"/>
        <v>30</v>
      </c>
      <c r="D255" s="3">
        <f t="shared" ca="1" si="18"/>
        <v>1224.8</v>
      </c>
      <c r="E255" s="22">
        <f t="shared" ca="1" si="19"/>
        <v>3865.4085525703072</v>
      </c>
    </row>
    <row r="256" spans="1:5" x14ac:dyDescent="0.25">
      <c r="A256" s="21">
        <f t="shared" ca="1" si="15"/>
        <v>264</v>
      </c>
      <c r="B256" s="3">
        <f t="shared" ca="1" si="16"/>
        <v>43</v>
      </c>
      <c r="C256" s="3">
        <f t="shared" ca="1" si="17"/>
        <v>26</v>
      </c>
      <c r="D256" s="3">
        <f t="shared" ca="1" si="18"/>
        <v>3054.88</v>
      </c>
      <c r="E256" s="22">
        <f t="shared" ca="1" si="19"/>
        <v>11496.595908625228</v>
      </c>
    </row>
    <row r="257" spans="1:5" x14ac:dyDescent="0.25">
      <c r="A257" s="21">
        <f t="shared" ca="1" si="15"/>
        <v>171</v>
      </c>
      <c r="B257" s="3">
        <f t="shared" ca="1" si="16"/>
        <v>41</v>
      </c>
      <c r="C257" s="3">
        <f t="shared" ca="1" si="17"/>
        <v>32</v>
      </c>
      <c r="D257" s="3">
        <f t="shared" ca="1" si="18"/>
        <v>813.64</v>
      </c>
      <c r="E257" s="22">
        <f t="shared" ca="1" si="19"/>
        <v>2150.9266756493316</v>
      </c>
    </row>
    <row r="258" spans="1:5" x14ac:dyDescent="0.25">
      <c r="A258" s="21">
        <f t="shared" ref="A258:A321" ca="1" si="20">RANDBETWEEN(150,300)</f>
        <v>300</v>
      </c>
      <c r="B258" s="3">
        <f t="shared" ref="B258:B321" ca="1" si="21">RANDBETWEEN(40,55)</f>
        <v>54</v>
      </c>
      <c r="C258" s="3">
        <f t="shared" ref="C258:C321" ca="1" si="22">RANDBETWEEN(25,35)</f>
        <v>31</v>
      </c>
      <c r="D258" s="3">
        <f t="shared" ca="1" si="18"/>
        <v>4888</v>
      </c>
      <c r="E258" s="22">
        <f t="shared" ca="1" si="19"/>
        <v>19140.459655637049</v>
      </c>
    </row>
    <row r="259" spans="1:5" x14ac:dyDescent="0.25">
      <c r="A259" s="21">
        <f t="shared" ca="1" si="20"/>
        <v>211</v>
      </c>
      <c r="B259" s="3">
        <f t="shared" ca="1" si="21"/>
        <v>48</v>
      </c>
      <c r="C259" s="3">
        <f t="shared" ca="1" si="22"/>
        <v>30</v>
      </c>
      <c r="D259" s="3">
        <f t="shared" ref="D259:D322" ca="1" si="23">(A259*(B259-C259)-$N$1-$N$2)*(1-$N$3)+$N$2</f>
        <v>2530.48</v>
      </c>
      <c r="E259" s="22">
        <f t="shared" ref="E259:E322" ca="1" si="24">PV($N$4,$N$5,-D259,$N$6,1)</f>
        <v>9309.9184685596556</v>
      </c>
    </row>
    <row r="260" spans="1:5" x14ac:dyDescent="0.25">
      <c r="A260" s="21">
        <f t="shared" ca="1" si="20"/>
        <v>168</v>
      </c>
      <c r="B260" s="3">
        <f t="shared" ca="1" si="21"/>
        <v>46</v>
      </c>
      <c r="C260" s="3">
        <f t="shared" ca="1" si="22"/>
        <v>34</v>
      </c>
      <c r="D260" s="3">
        <f t="shared" ca="1" si="23"/>
        <v>1176.1600000000001</v>
      </c>
      <c r="E260" s="22">
        <f t="shared" ca="1" si="24"/>
        <v>3662.5862972598784</v>
      </c>
    </row>
    <row r="261" spans="1:5" x14ac:dyDescent="0.25">
      <c r="A261" s="21">
        <f t="shared" ca="1" si="20"/>
        <v>152</v>
      </c>
      <c r="B261" s="3">
        <f t="shared" ca="1" si="21"/>
        <v>46</v>
      </c>
      <c r="C261" s="3">
        <f t="shared" ca="1" si="22"/>
        <v>28</v>
      </c>
      <c r="D261" s="3">
        <f t="shared" ca="1" si="23"/>
        <v>1723.3600000000001</v>
      </c>
      <c r="E261" s="22">
        <f t="shared" ca="1" si="24"/>
        <v>5944.3366695022141</v>
      </c>
    </row>
    <row r="262" spans="1:5" x14ac:dyDescent="0.25">
      <c r="A262" s="21">
        <f t="shared" ca="1" si="20"/>
        <v>185</v>
      </c>
      <c r="B262" s="3">
        <f t="shared" ca="1" si="21"/>
        <v>47</v>
      </c>
      <c r="C262" s="3">
        <f t="shared" ca="1" si="22"/>
        <v>28</v>
      </c>
      <c r="D262" s="3">
        <f t="shared" ca="1" si="23"/>
        <v>2315.4</v>
      </c>
      <c r="E262" s="22">
        <f t="shared" ca="1" si="24"/>
        <v>8413.063808358851</v>
      </c>
    </row>
    <row r="263" spans="1:5" x14ac:dyDescent="0.25">
      <c r="A263" s="21">
        <f t="shared" ca="1" si="20"/>
        <v>247</v>
      </c>
      <c r="B263" s="3">
        <f t="shared" ca="1" si="21"/>
        <v>53</v>
      </c>
      <c r="C263" s="3">
        <f t="shared" ca="1" si="22"/>
        <v>35</v>
      </c>
      <c r="D263" s="3">
        <f t="shared" ca="1" si="23"/>
        <v>3022.96</v>
      </c>
      <c r="E263" s="22">
        <f t="shared" ca="1" si="24"/>
        <v>11363.493803577758</v>
      </c>
    </row>
    <row r="264" spans="1:5" x14ac:dyDescent="0.25">
      <c r="A264" s="21">
        <f t="shared" ca="1" si="20"/>
        <v>197</v>
      </c>
      <c r="B264" s="3">
        <f t="shared" ca="1" si="21"/>
        <v>41</v>
      </c>
      <c r="C264" s="3">
        <f t="shared" ca="1" si="22"/>
        <v>28</v>
      </c>
      <c r="D264" s="3">
        <f t="shared" ca="1" si="23"/>
        <v>1590.3600000000001</v>
      </c>
      <c r="E264" s="22">
        <f t="shared" ca="1" si="24"/>
        <v>5389.7445651377575</v>
      </c>
    </row>
    <row r="265" spans="1:5" x14ac:dyDescent="0.25">
      <c r="A265" s="21">
        <f t="shared" ca="1" si="20"/>
        <v>279</v>
      </c>
      <c r="B265" s="3">
        <f t="shared" ca="1" si="21"/>
        <v>49</v>
      </c>
      <c r="C265" s="3">
        <f t="shared" ca="1" si="22"/>
        <v>33</v>
      </c>
      <c r="D265" s="3">
        <f t="shared" ca="1" si="23"/>
        <v>3036.64</v>
      </c>
      <c r="E265" s="22">
        <f t="shared" ca="1" si="24"/>
        <v>11420.537562883817</v>
      </c>
    </row>
    <row r="266" spans="1:5" x14ac:dyDescent="0.25">
      <c r="A266" s="21">
        <f t="shared" ca="1" si="20"/>
        <v>153</v>
      </c>
      <c r="B266" s="3">
        <f t="shared" ca="1" si="21"/>
        <v>50</v>
      </c>
      <c r="C266" s="3">
        <f t="shared" ca="1" si="22"/>
        <v>25</v>
      </c>
      <c r="D266" s="3">
        <f t="shared" ca="1" si="23"/>
        <v>2551</v>
      </c>
      <c r="E266" s="22">
        <f t="shared" ca="1" si="24"/>
        <v>9395.4841075187433</v>
      </c>
    </row>
    <row r="267" spans="1:5" x14ac:dyDescent="0.25">
      <c r="A267" s="21">
        <f t="shared" ca="1" si="20"/>
        <v>207</v>
      </c>
      <c r="B267" s="3">
        <f t="shared" ca="1" si="21"/>
        <v>54</v>
      </c>
      <c r="C267" s="3">
        <f t="shared" ca="1" si="22"/>
        <v>28</v>
      </c>
      <c r="D267" s="3">
        <f t="shared" ca="1" si="23"/>
        <v>3734.32</v>
      </c>
      <c r="E267" s="22">
        <f t="shared" ca="1" si="24"/>
        <v>14329.769287492793</v>
      </c>
    </row>
    <row r="268" spans="1:5" x14ac:dyDescent="0.25">
      <c r="A268" s="21">
        <f t="shared" ca="1" si="20"/>
        <v>281</v>
      </c>
      <c r="B268" s="3">
        <f t="shared" ca="1" si="21"/>
        <v>53</v>
      </c>
      <c r="C268" s="3">
        <f t="shared" ca="1" si="22"/>
        <v>27</v>
      </c>
      <c r="D268" s="3">
        <f t="shared" ca="1" si="23"/>
        <v>5196.5600000000004</v>
      </c>
      <c r="E268" s="22">
        <f t="shared" ca="1" si="24"/>
        <v>20427.113337762592</v>
      </c>
    </row>
    <row r="269" spans="1:5" x14ac:dyDescent="0.25">
      <c r="A269" s="21">
        <f t="shared" ca="1" si="20"/>
        <v>164</v>
      </c>
      <c r="B269" s="3">
        <f t="shared" ca="1" si="21"/>
        <v>42</v>
      </c>
      <c r="C269" s="3">
        <f t="shared" ca="1" si="22"/>
        <v>25</v>
      </c>
      <c r="D269" s="3">
        <f t="shared" ca="1" si="23"/>
        <v>1762.88</v>
      </c>
      <c r="E269" s="22">
        <f t="shared" ca="1" si="24"/>
        <v>6109.1297519419377</v>
      </c>
    </row>
    <row r="270" spans="1:5" x14ac:dyDescent="0.25">
      <c r="A270" s="21">
        <f t="shared" ca="1" si="20"/>
        <v>166</v>
      </c>
      <c r="B270" s="3">
        <f t="shared" ca="1" si="21"/>
        <v>54</v>
      </c>
      <c r="C270" s="3">
        <f t="shared" ca="1" si="22"/>
        <v>34</v>
      </c>
      <c r="D270" s="3">
        <f t="shared" ca="1" si="23"/>
        <v>2167.1999999999998</v>
      </c>
      <c r="E270" s="22">
        <f t="shared" ca="1" si="24"/>
        <v>7795.0897492098829</v>
      </c>
    </row>
    <row r="271" spans="1:5" x14ac:dyDescent="0.25">
      <c r="A271" s="21">
        <f t="shared" ca="1" si="20"/>
        <v>187</v>
      </c>
      <c r="B271" s="3">
        <f t="shared" ca="1" si="21"/>
        <v>49</v>
      </c>
      <c r="C271" s="3">
        <f t="shared" ca="1" si="22"/>
        <v>32</v>
      </c>
      <c r="D271" s="3">
        <f t="shared" ca="1" si="23"/>
        <v>2060.04</v>
      </c>
      <c r="E271" s="22">
        <f t="shared" ca="1" si="24"/>
        <v>7348.2469679790938</v>
      </c>
    </row>
    <row r="272" spans="1:5" x14ac:dyDescent="0.25">
      <c r="A272" s="21">
        <f t="shared" ca="1" si="20"/>
        <v>274</v>
      </c>
      <c r="B272" s="3">
        <f t="shared" ca="1" si="21"/>
        <v>46</v>
      </c>
      <c r="C272" s="3">
        <f t="shared" ca="1" si="22"/>
        <v>35</v>
      </c>
      <c r="D272" s="3">
        <f t="shared" ca="1" si="23"/>
        <v>1934.64</v>
      </c>
      <c r="E272" s="22">
        <f t="shared" ca="1" si="24"/>
        <v>6825.3458410068924</v>
      </c>
    </row>
    <row r="273" spans="1:5" x14ac:dyDescent="0.25">
      <c r="A273" s="21">
        <f t="shared" ca="1" si="20"/>
        <v>194</v>
      </c>
      <c r="B273" s="3">
        <f t="shared" ca="1" si="21"/>
        <v>54</v>
      </c>
      <c r="C273" s="3">
        <f t="shared" ca="1" si="22"/>
        <v>35</v>
      </c>
      <c r="D273" s="3">
        <f t="shared" ca="1" si="23"/>
        <v>2445.36</v>
      </c>
      <c r="E273" s="22">
        <f t="shared" ca="1" si="24"/>
        <v>8954.9795217664068</v>
      </c>
    </row>
    <row r="274" spans="1:5" x14ac:dyDescent="0.25">
      <c r="A274" s="21">
        <f t="shared" ca="1" si="20"/>
        <v>260</v>
      </c>
      <c r="B274" s="3">
        <f t="shared" ca="1" si="21"/>
        <v>46</v>
      </c>
      <c r="C274" s="3">
        <f t="shared" ca="1" si="22"/>
        <v>35</v>
      </c>
      <c r="D274" s="3">
        <f t="shared" ca="1" si="23"/>
        <v>1817.6</v>
      </c>
      <c r="E274" s="22">
        <f t="shared" ca="1" si="24"/>
        <v>6337.3047891661699</v>
      </c>
    </row>
    <row r="275" spans="1:5" x14ac:dyDescent="0.25">
      <c r="A275" s="21">
        <f t="shared" ca="1" si="20"/>
        <v>216</v>
      </c>
      <c r="B275" s="3">
        <f t="shared" ca="1" si="21"/>
        <v>51</v>
      </c>
      <c r="C275" s="3">
        <f t="shared" ca="1" si="22"/>
        <v>25</v>
      </c>
      <c r="D275" s="3">
        <f t="shared" ca="1" si="23"/>
        <v>3912.16</v>
      </c>
      <c r="E275" s="22">
        <f t="shared" ca="1" si="24"/>
        <v>15071.338158471552</v>
      </c>
    </row>
    <row r="276" spans="1:5" x14ac:dyDescent="0.25">
      <c r="A276" s="21">
        <f t="shared" ca="1" si="20"/>
        <v>246</v>
      </c>
      <c r="B276" s="3">
        <f t="shared" ca="1" si="21"/>
        <v>40</v>
      </c>
      <c r="C276" s="3">
        <f t="shared" ca="1" si="22"/>
        <v>31</v>
      </c>
      <c r="D276" s="3">
        <f t="shared" ca="1" si="23"/>
        <v>1326.64</v>
      </c>
      <c r="E276" s="22">
        <f t="shared" ca="1" si="24"/>
        <v>4290.0676496265205</v>
      </c>
    </row>
    <row r="277" spans="1:5" x14ac:dyDescent="0.25">
      <c r="A277" s="21">
        <f t="shared" ca="1" si="20"/>
        <v>159</v>
      </c>
      <c r="B277" s="3">
        <f t="shared" ca="1" si="21"/>
        <v>43</v>
      </c>
      <c r="C277" s="3">
        <f t="shared" ca="1" si="22"/>
        <v>31</v>
      </c>
      <c r="D277" s="3">
        <f t="shared" ca="1" si="23"/>
        <v>1094.08</v>
      </c>
      <c r="E277" s="22">
        <f t="shared" ca="1" si="24"/>
        <v>3320.3237414235277</v>
      </c>
    </row>
    <row r="278" spans="1:5" x14ac:dyDescent="0.25">
      <c r="A278" s="21">
        <f t="shared" ca="1" si="20"/>
        <v>262</v>
      </c>
      <c r="B278" s="3">
        <f t="shared" ca="1" si="21"/>
        <v>48</v>
      </c>
      <c r="C278" s="3">
        <f t="shared" ca="1" si="22"/>
        <v>30</v>
      </c>
      <c r="D278" s="3">
        <f t="shared" ca="1" si="23"/>
        <v>3228.16</v>
      </c>
      <c r="E278" s="22">
        <f t="shared" ca="1" si="24"/>
        <v>12219.150193168633</v>
      </c>
    </row>
    <row r="279" spans="1:5" x14ac:dyDescent="0.25">
      <c r="A279" s="21">
        <f t="shared" ca="1" si="20"/>
        <v>238</v>
      </c>
      <c r="B279" s="3">
        <f t="shared" ca="1" si="21"/>
        <v>47</v>
      </c>
      <c r="C279" s="3">
        <f t="shared" ca="1" si="22"/>
        <v>31</v>
      </c>
      <c r="D279" s="3">
        <f t="shared" ca="1" si="23"/>
        <v>2538.08</v>
      </c>
      <c r="E279" s="22">
        <f t="shared" ca="1" si="24"/>
        <v>9341.6094459519118</v>
      </c>
    </row>
    <row r="280" spans="1:5" x14ac:dyDescent="0.25">
      <c r="A280" s="21">
        <f t="shared" ca="1" si="20"/>
        <v>241</v>
      </c>
      <c r="B280" s="3">
        <f t="shared" ca="1" si="21"/>
        <v>45</v>
      </c>
      <c r="C280" s="3">
        <f t="shared" ca="1" si="22"/>
        <v>29</v>
      </c>
      <c r="D280" s="3">
        <f t="shared" ca="1" si="23"/>
        <v>2574.56</v>
      </c>
      <c r="E280" s="22">
        <f t="shared" ca="1" si="24"/>
        <v>9493.7261374347327</v>
      </c>
    </row>
    <row r="281" spans="1:5" x14ac:dyDescent="0.25">
      <c r="A281" s="21">
        <f t="shared" ca="1" si="20"/>
        <v>196</v>
      </c>
      <c r="B281" s="3">
        <f t="shared" ca="1" si="21"/>
        <v>50</v>
      </c>
      <c r="C281" s="3">
        <f t="shared" ca="1" si="22"/>
        <v>25</v>
      </c>
      <c r="D281" s="3">
        <f t="shared" ca="1" si="23"/>
        <v>3368</v>
      </c>
      <c r="E281" s="22">
        <f t="shared" ca="1" si="24"/>
        <v>12802.264177186118</v>
      </c>
    </row>
    <row r="282" spans="1:5" x14ac:dyDescent="0.25">
      <c r="A282" s="21">
        <f t="shared" ca="1" si="20"/>
        <v>273</v>
      </c>
      <c r="B282" s="3">
        <f t="shared" ca="1" si="21"/>
        <v>54</v>
      </c>
      <c r="C282" s="3">
        <f t="shared" ca="1" si="22"/>
        <v>27</v>
      </c>
      <c r="D282" s="3">
        <f t="shared" ca="1" si="23"/>
        <v>5245.96</v>
      </c>
      <c r="E282" s="22">
        <f t="shared" ca="1" si="24"/>
        <v>20633.104690812244</v>
      </c>
    </row>
    <row r="283" spans="1:5" x14ac:dyDescent="0.25">
      <c r="A283" s="21">
        <f t="shared" ca="1" si="20"/>
        <v>258</v>
      </c>
      <c r="B283" s="3">
        <f t="shared" ca="1" si="21"/>
        <v>47</v>
      </c>
      <c r="C283" s="3">
        <f t="shared" ca="1" si="22"/>
        <v>31</v>
      </c>
      <c r="D283" s="3">
        <f t="shared" ca="1" si="23"/>
        <v>2781.28</v>
      </c>
      <c r="E283" s="22">
        <f t="shared" ca="1" si="24"/>
        <v>10355.72072250406</v>
      </c>
    </row>
    <row r="284" spans="1:5" x14ac:dyDescent="0.25">
      <c r="A284" s="21">
        <f t="shared" ca="1" si="20"/>
        <v>175</v>
      </c>
      <c r="B284" s="3">
        <f t="shared" ca="1" si="21"/>
        <v>44</v>
      </c>
      <c r="C284" s="3">
        <f t="shared" ca="1" si="22"/>
        <v>29</v>
      </c>
      <c r="D284" s="3">
        <f t="shared" ca="1" si="23"/>
        <v>1639</v>
      </c>
      <c r="E284" s="22">
        <f t="shared" ca="1" si="24"/>
        <v>5592.5668204481863</v>
      </c>
    </row>
    <row r="285" spans="1:5" x14ac:dyDescent="0.25">
      <c r="A285" s="21">
        <f t="shared" ca="1" si="20"/>
        <v>276</v>
      </c>
      <c r="B285" s="3">
        <f t="shared" ca="1" si="21"/>
        <v>49</v>
      </c>
      <c r="C285" s="3">
        <f t="shared" ca="1" si="22"/>
        <v>35</v>
      </c>
      <c r="D285" s="3">
        <f t="shared" ca="1" si="23"/>
        <v>2580.64</v>
      </c>
      <c r="E285" s="22">
        <f t="shared" ca="1" si="24"/>
        <v>9519.0789193485361</v>
      </c>
    </row>
    <row r="286" spans="1:5" x14ac:dyDescent="0.25">
      <c r="A286" s="21">
        <f t="shared" ca="1" si="20"/>
        <v>273</v>
      </c>
      <c r="B286" s="3">
        <f t="shared" ca="1" si="21"/>
        <v>48</v>
      </c>
      <c r="C286" s="3">
        <f t="shared" ca="1" si="22"/>
        <v>25</v>
      </c>
      <c r="D286" s="3">
        <f t="shared" ca="1" si="23"/>
        <v>4416.04</v>
      </c>
      <c r="E286" s="22">
        <f t="shared" ca="1" si="24"/>
        <v>17172.449959578033</v>
      </c>
    </row>
    <row r="287" spans="1:5" x14ac:dyDescent="0.25">
      <c r="A287" s="21">
        <f t="shared" ca="1" si="20"/>
        <v>275</v>
      </c>
      <c r="B287" s="3">
        <f t="shared" ca="1" si="21"/>
        <v>48</v>
      </c>
      <c r="C287" s="3">
        <f t="shared" ca="1" si="22"/>
        <v>35</v>
      </c>
      <c r="D287" s="3">
        <f t="shared" ca="1" si="23"/>
        <v>2361</v>
      </c>
      <c r="E287" s="22">
        <f t="shared" ca="1" si="24"/>
        <v>8603.209672712379</v>
      </c>
    </row>
    <row r="288" spans="1:5" x14ac:dyDescent="0.25">
      <c r="A288" s="21">
        <f t="shared" ca="1" si="20"/>
        <v>222</v>
      </c>
      <c r="B288" s="3">
        <f t="shared" ca="1" si="21"/>
        <v>53</v>
      </c>
      <c r="C288" s="3">
        <f t="shared" ca="1" si="22"/>
        <v>31</v>
      </c>
      <c r="D288" s="3">
        <f t="shared" ca="1" si="23"/>
        <v>3355.84</v>
      </c>
      <c r="E288" s="22">
        <f t="shared" ca="1" si="24"/>
        <v>12751.558613358513</v>
      </c>
    </row>
    <row r="289" spans="1:5" x14ac:dyDescent="0.25">
      <c r="A289" s="21">
        <f t="shared" ca="1" si="20"/>
        <v>264</v>
      </c>
      <c r="B289" s="3">
        <f t="shared" ca="1" si="21"/>
        <v>47</v>
      </c>
      <c r="C289" s="3">
        <f t="shared" ca="1" si="22"/>
        <v>28</v>
      </c>
      <c r="D289" s="3">
        <f t="shared" ca="1" si="23"/>
        <v>3456.16</v>
      </c>
      <c r="E289" s="22">
        <f t="shared" ca="1" si="24"/>
        <v>13169.879514936274</v>
      </c>
    </row>
    <row r="290" spans="1:5" x14ac:dyDescent="0.25">
      <c r="A290" s="21">
        <f t="shared" ca="1" si="20"/>
        <v>228</v>
      </c>
      <c r="B290" s="3">
        <f t="shared" ca="1" si="21"/>
        <v>55</v>
      </c>
      <c r="C290" s="3">
        <f t="shared" ca="1" si="22"/>
        <v>26</v>
      </c>
      <c r="D290" s="3">
        <f t="shared" ca="1" si="23"/>
        <v>4669.12</v>
      </c>
      <c r="E290" s="22">
        <f t="shared" ca="1" si="24"/>
        <v>18227.759506740113</v>
      </c>
    </row>
    <row r="291" spans="1:5" x14ac:dyDescent="0.25">
      <c r="A291" s="21">
        <f t="shared" ca="1" si="20"/>
        <v>270</v>
      </c>
      <c r="B291" s="3">
        <f t="shared" ca="1" si="21"/>
        <v>52</v>
      </c>
      <c r="C291" s="3">
        <f t="shared" ca="1" si="22"/>
        <v>30</v>
      </c>
      <c r="D291" s="3">
        <f t="shared" ca="1" si="23"/>
        <v>4158.3999999999996</v>
      </c>
      <c r="E291" s="22">
        <f t="shared" ca="1" si="24"/>
        <v>16098.1258259806</v>
      </c>
    </row>
    <row r="292" spans="1:5" x14ac:dyDescent="0.25">
      <c r="A292" s="21">
        <f t="shared" ca="1" si="20"/>
        <v>247</v>
      </c>
      <c r="B292" s="3">
        <f t="shared" ca="1" si="21"/>
        <v>50</v>
      </c>
      <c r="C292" s="3">
        <f t="shared" ca="1" si="22"/>
        <v>28</v>
      </c>
      <c r="D292" s="3">
        <f t="shared" ca="1" si="23"/>
        <v>3773.84</v>
      </c>
      <c r="E292" s="22">
        <f t="shared" ca="1" si="24"/>
        <v>14494.562369932517</v>
      </c>
    </row>
    <row r="293" spans="1:5" x14ac:dyDescent="0.25">
      <c r="A293" s="21">
        <f t="shared" ca="1" si="20"/>
        <v>220</v>
      </c>
      <c r="B293" s="3">
        <f t="shared" ca="1" si="21"/>
        <v>45</v>
      </c>
      <c r="C293" s="3">
        <f t="shared" ca="1" si="22"/>
        <v>32</v>
      </c>
      <c r="D293" s="3">
        <f t="shared" ca="1" si="23"/>
        <v>1817.6</v>
      </c>
      <c r="E293" s="22">
        <f t="shared" ca="1" si="24"/>
        <v>6337.3047891661699</v>
      </c>
    </row>
    <row r="294" spans="1:5" x14ac:dyDescent="0.25">
      <c r="A294" s="21">
        <f t="shared" ca="1" si="20"/>
        <v>180</v>
      </c>
      <c r="B294" s="3">
        <f t="shared" ca="1" si="21"/>
        <v>40</v>
      </c>
      <c r="C294" s="3">
        <f t="shared" ca="1" si="22"/>
        <v>35</v>
      </c>
      <c r="D294" s="3">
        <f t="shared" ca="1" si="23"/>
        <v>328</v>
      </c>
      <c r="E294" s="22">
        <f t="shared" ca="1" si="24"/>
        <v>125.87322028425918</v>
      </c>
    </row>
    <row r="295" spans="1:5" x14ac:dyDescent="0.25">
      <c r="A295" s="21">
        <f t="shared" ca="1" si="20"/>
        <v>254</v>
      </c>
      <c r="B295" s="3">
        <f t="shared" ca="1" si="21"/>
        <v>40</v>
      </c>
      <c r="C295" s="3">
        <f t="shared" ca="1" si="22"/>
        <v>33</v>
      </c>
      <c r="D295" s="3">
        <f t="shared" ca="1" si="23"/>
        <v>995.28</v>
      </c>
      <c r="E295" s="22">
        <f t="shared" ca="1" si="24"/>
        <v>2908.341035324217</v>
      </c>
    </row>
    <row r="296" spans="1:5" x14ac:dyDescent="0.25">
      <c r="A296" s="21">
        <f t="shared" ca="1" si="20"/>
        <v>291</v>
      </c>
      <c r="B296" s="3">
        <f t="shared" ca="1" si="21"/>
        <v>49</v>
      </c>
      <c r="C296" s="3">
        <f t="shared" ca="1" si="22"/>
        <v>30</v>
      </c>
      <c r="D296" s="3">
        <f t="shared" ca="1" si="23"/>
        <v>3846.04</v>
      </c>
      <c r="E296" s="22">
        <f t="shared" ca="1" si="24"/>
        <v>14795.626655158938</v>
      </c>
    </row>
    <row r="297" spans="1:5" x14ac:dyDescent="0.25">
      <c r="A297" s="21">
        <f t="shared" ca="1" si="20"/>
        <v>245</v>
      </c>
      <c r="B297" s="3">
        <f t="shared" ca="1" si="21"/>
        <v>48</v>
      </c>
      <c r="C297" s="3">
        <f t="shared" ca="1" si="22"/>
        <v>32</v>
      </c>
      <c r="D297" s="3">
        <f t="shared" ca="1" si="23"/>
        <v>2623.2</v>
      </c>
      <c r="E297" s="22">
        <f t="shared" ca="1" si="24"/>
        <v>9696.5483927451623</v>
      </c>
    </row>
    <row r="298" spans="1:5" x14ac:dyDescent="0.25">
      <c r="A298" s="21">
        <f t="shared" ca="1" si="20"/>
        <v>197</v>
      </c>
      <c r="B298" s="3">
        <f t="shared" ca="1" si="21"/>
        <v>51</v>
      </c>
      <c r="C298" s="3">
        <f t="shared" ca="1" si="22"/>
        <v>34</v>
      </c>
      <c r="D298" s="3">
        <f t="shared" ca="1" si="23"/>
        <v>2189.2400000000002</v>
      </c>
      <c r="E298" s="22">
        <f t="shared" ca="1" si="24"/>
        <v>7886.9935836474242</v>
      </c>
    </row>
    <row r="299" spans="1:5" x14ac:dyDescent="0.25">
      <c r="A299" s="21">
        <f t="shared" ca="1" si="20"/>
        <v>292</v>
      </c>
      <c r="B299" s="3">
        <f t="shared" ca="1" si="21"/>
        <v>47</v>
      </c>
      <c r="C299" s="3">
        <f t="shared" ca="1" si="22"/>
        <v>32</v>
      </c>
      <c r="D299" s="3">
        <f t="shared" ca="1" si="23"/>
        <v>2972.8</v>
      </c>
      <c r="E299" s="22">
        <f t="shared" ca="1" si="24"/>
        <v>11154.333352788879</v>
      </c>
    </row>
    <row r="300" spans="1:5" x14ac:dyDescent="0.25">
      <c r="A300" s="21">
        <f t="shared" ca="1" si="20"/>
        <v>162</v>
      </c>
      <c r="B300" s="3">
        <f t="shared" ca="1" si="21"/>
        <v>51</v>
      </c>
      <c r="C300" s="3">
        <f t="shared" ca="1" si="22"/>
        <v>30</v>
      </c>
      <c r="D300" s="3">
        <f t="shared" ca="1" si="23"/>
        <v>2229.52</v>
      </c>
      <c r="E300" s="22">
        <f t="shared" ca="1" si="24"/>
        <v>8054.9557638263723</v>
      </c>
    </row>
    <row r="301" spans="1:5" x14ac:dyDescent="0.25">
      <c r="A301" s="21">
        <f t="shared" ca="1" si="20"/>
        <v>250</v>
      </c>
      <c r="B301" s="3">
        <f t="shared" ca="1" si="21"/>
        <v>49</v>
      </c>
      <c r="C301" s="3">
        <f t="shared" ca="1" si="22"/>
        <v>26</v>
      </c>
      <c r="D301" s="3">
        <f t="shared" ca="1" si="23"/>
        <v>4014</v>
      </c>
      <c r="E301" s="22">
        <f t="shared" ca="1" si="24"/>
        <v>15495.997255527765</v>
      </c>
    </row>
    <row r="302" spans="1:5" x14ac:dyDescent="0.25">
      <c r="A302" s="21">
        <f t="shared" ca="1" si="20"/>
        <v>296</v>
      </c>
      <c r="B302" s="3">
        <f t="shared" ca="1" si="21"/>
        <v>53</v>
      </c>
      <c r="C302" s="3">
        <f t="shared" ca="1" si="22"/>
        <v>30</v>
      </c>
      <c r="D302" s="3">
        <f t="shared" ca="1" si="23"/>
        <v>4818.08</v>
      </c>
      <c r="E302" s="22">
        <f t="shared" ca="1" si="24"/>
        <v>18848.902663628305</v>
      </c>
    </row>
    <row r="303" spans="1:5" x14ac:dyDescent="0.25">
      <c r="A303" s="21">
        <f t="shared" ca="1" si="20"/>
        <v>180</v>
      </c>
      <c r="B303" s="3">
        <f t="shared" ca="1" si="21"/>
        <v>53</v>
      </c>
      <c r="C303" s="3">
        <f t="shared" ca="1" si="22"/>
        <v>32</v>
      </c>
      <c r="D303" s="3">
        <f t="shared" ca="1" si="23"/>
        <v>2516.8000000000002</v>
      </c>
      <c r="E303" s="22">
        <f t="shared" ca="1" si="24"/>
        <v>9252.8747092535996</v>
      </c>
    </row>
    <row r="304" spans="1:5" x14ac:dyDescent="0.25">
      <c r="A304" s="21">
        <f t="shared" ca="1" si="20"/>
        <v>283</v>
      </c>
      <c r="B304" s="3">
        <f t="shared" ca="1" si="21"/>
        <v>42</v>
      </c>
      <c r="C304" s="3">
        <f t="shared" ca="1" si="22"/>
        <v>28</v>
      </c>
      <c r="D304" s="3">
        <f t="shared" ca="1" si="23"/>
        <v>2655.12</v>
      </c>
      <c r="E304" s="22">
        <f t="shared" ca="1" si="24"/>
        <v>9829.6504977926325</v>
      </c>
    </row>
    <row r="305" spans="1:5" x14ac:dyDescent="0.25">
      <c r="A305" s="21">
        <f t="shared" ca="1" si="20"/>
        <v>160</v>
      </c>
      <c r="B305" s="3">
        <f t="shared" ca="1" si="21"/>
        <v>42</v>
      </c>
      <c r="C305" s="3">
        <f t="shared" ca="1" si="22"/>
        <v>34</v>
      </c>
      <c r="D305" s="3">
        <f t="shared" ca="1" si="23"/>
        <v>616.79999999999995</v>
      </c>
      <c r="E305" s="22">
        <f t="shared" ca="1" si="24"/>
        <v>1330.1303611899357</v>
      </c>
    </row>
    <row r="306" spans="1:5" x14ac:dyDescent="0.25">
      <c r="A306" s="21">
        <f t="shared" ca="1" si="20"/>
        <v>180</v>
      </c>
      <c r="B306" s="3">
        <f t="shared" ca="1" si="21"/>
        <v>46</v>
      </c>
      <c r="C306" s="3">
        <f t="shared" ca="1" si="22"/>
        <v>25</v>
      </c>
      <c r="D306" s="3">
        <f t="shared" ca="1" si="23"/>
        <v>2516.8000000000002</v>
      </c>
      <c r="E306" s="22">
        <f t="shared" ca="1" si="24"/>
        <v>9252.8747092535996</v>
      </c>
    </row>
    <row r="307" spans="1:5" x14ac:dyDescent="0.25">
      <c r="A307" s="21">
        <f t="shared" ca="1" si="20"/>
        <v>181</v>
      </c>
      <c r="B307" s="3">
        <f t="shared" ca="1" si="21"/>
        <v>44</v>
      </c>
      <c r="C307" s="3">
        <f t="shared" ca="1" si="22"/>
        <v>35</v>
      </c>
      <c r="D307" s="3">
        <f t="shared" ca="1" si="23"/>
        <v>882.04</v>
      </c>
      <c r="E307" s="22">
        <f t="shared" ca="1" si="24"/>
        <v>2436.1454721796231</v>
      </c>
    </row>
    <row r="308" spans="1:5" x14ac:dyDescent="0.25">
      <c r="A308" s="21">
        <f t="shared" ca="1" si="20"/>
        <v>164</v>
      </c>
      <c r="B308" s="3">
        <f t="shared" ca="1" si="21"/>
        <v>40</v>
      </c>
      <c r="C308" s="3">
        <f t="shared" ca="1" si="22"/>
        <v>29</v>
      </c>
      <c r="D308" s="3">
        <f t="shared" ca="1" si="23"/>
        <v>1015.04</v>
      </c>
      <c r="E308" s="22">
        <f t="shared" ca="1" si="24"/>
        <v>2990.7375765440793</v>
      </c>
    </row>
    <row r="309" spans="1:5" x14ac:dyDescent="0.25">
      <c r="A309" s="21">
        <f t="shared" ca="1" si="20"/>
        <v>151</v>
      </c>
      <c r="B309" s="3">
        <f t="shared" ca="1" si="21"/>
        <v>52</v>
      </c>
      <c r="C309" s="3">
        <f t="shared" ca="1" si="22"/>
        <v>27</v>
      </c>
      <c r="D309" s="3">
        <f t="shared" ca="1" si="23"/>
        <v>2513</v>
      </c>
      <c r="E309" s="22">
        <f t="shared" ca="1" si="24"/>
        <v>9237.0292205574715</v>
      </c>
    </row>
    <row r="310" spans="1:5" x14ac:dyDescent="0.25">
      <c r="A310" s="21">
        <f t="shared" ca="1" si="20"/>
        <v>292</v>
      </c>
      <c r="B310" s="3">
        <f t="shared" ca="1" si="21"/>
        <v>46</v>
      </c>
      <c r="C310" s="3">
        <f t="shared" ca="1" si="22"/>
        <v>26</v>
      </c>
      <c r="D310" s="3">
        <f t="shared" ca="1" si="23"/>
        <v>4082.4</v>
      </c>
      <c r="E310" s="22">
        <f t="shared" ca="1" si="24"/>
        <v>15781.216052058056</v>
      </c>
    </row>
    <row r="311" spans="1:5" x14ac:dyDescent="0.25">
      <c r="A311" s="21">
        <f t="shared" ca="1" si="20"/>
        <v>214</v>
      </c>
      <c r="B311" s="3">
        <f t="shared" ca="1" si="21"/>
        <v>52</v>
      </c>
      <c r="C311" s="3">
        <f t="shared" ca="1" si="22"/>
        <v>30</v>
      </c>
      <c r="D311" s="3">
        <f t="shared" ca="1" si="23"/>
        <v>3222.08</v>
      </c>
      <c r="E311" s="22">
        <f t="shared" ca="1" si="24"/>
        <v>12193.797411254829</v>
      </c>
    </row>
    <row r="312" spans="1:5" x14ac:dyDescent="0.25">
      <c r="A312" s="21">
        <f t="shared" ca="1" si="20"/>
        <v>244</v>
      </c>
      <c r="B312" s="3">
        <f t="shared" ca="1" si="21"/>
        <v>53</v>
      </c>
      <c r="C312" s="3">
        <f t="shared" ca="1" si="22"/>
        <v>35</v>
      </c>
      <c r="D312" s="3">
        <f t="shared" ca="1" si="23"/>
        <v>2981.92</v>
      </c>
      <c r="E312" s="22">
        <f t="shared" ca="1" si="24"/>
        <v>11192.362525659584</v>
      </c>
    </row>
    <row r="313" spans="1:5" x14ac:dyDescent="0.25">
      <c r="A313" s="21">
        <f t="shared" ca="1" si="20"/>
        <v>295</v>
      </c>
      <c r="B313" s="3">
        <f t="shared" ca="1" si="21"/>
        <v>41</v>
      </c>
      <c r="C313" s="3">
        <f t="shared" ca="1" si="22"/>
        <v>28</v>
      </c>
      <c r="D313" s="3">
        <f t="shared" ca="1" si="23"/>
        <v>2558.6</v>
      </c>
      <c r="E313" s="22">
        <f t="shared" ca="1" si="24"/>
        <v>9427.1750849109976</v>
      </c>
    </row>
    <row r="314" spans="1:5" x14ac:dyDescent="0.25">
      <c r="A314" s="21">
        <f t="shared" ca="1" si="20"/>
        <v>297</v>
      </c>
      <c r="B314" s="3">
        <f t="shared" ca="1" si="21"/>
        <v>47</v>
      </c>
      <c r="C314" s="3">
        <f t="shared" ca="1" si="22"/>
        <v>34</v>
      </c>
      <c r="D314" s="3">
        <f t="shared" ca="1" si="23"/>
        <v>2578.36</v>
      </c>
      <c r="E314" s="22">
        <f t="shared" ca="1" si="24"/>
        <v>9509.5716261308626</v>
      </c>
    </row>
    <row r="315" spans="1:5" x14ac:dyDescent="0.25">
      <c r="A315" s="21">
        <f t="shared" ca="1" si="20"/>
        <v>163</v>
      </c>
      <c r="B315" s="3">
        <f t="shared" ca="1" si="21"/>
        <v>48</v>
      </c>
      <c r="C315" s="3">
        <f t="shared" ca="1" si="22"/>
        <v>28</v>
      </c>
      <c r="D315" s="3">
        <f t="shared" ca="1" si="23"/>
        <v>2121.6000000000004</v>
      </c>
      <c r="E315" s="22">
        <f t="shared" ca="1" si="24"/>
        <v>7604.9438848563577</v>
      </c>
    </row>
    <row r="316" spans="1:5" x14ac:dyDescent="0.25">
      <c r="A316" s="21">
        <f t="shared" ca="1" si="20"/>
        <v>260</v>
      </c>
      <c r="B316" s="3">
        <f t="shared" ca="1" si="21"/>
        <v>48</v>
      </c>
      <c r="C316" s="3">
        <f t="shared" ca="1" si="22"/>
        <v>29</v>
      </c>
      <c r="D316" s="3">
        <f t="shared" ca="1" si="23"/>
        <v>3398.4</v>
      </c>
      <c r="E316" s="22">
        <f t="shared" ca="1" si="24"/>
        <v>12929.028086755137</v>
      </c>
    </row>
    <row r="317" spans="1:5" x14ac:dyDescent="0.25">
      <c r="A317" s="21">
        <f t="shared" ca="1" si="20"/>
        <v>293</v>
      </c>
      <c r="B317" s="3">
        <f t="shared" ca="1" si="21"/>
        <v>53</v>
      </c>
      <c r="C317" s="3">
        <f t="shared" ca="1" si="22"/>
        <v>28</v>
      </c>
      <c r="D317" s="3">
        <f t="shared" ca="1" si="23"/>
        <v>5211</v>
      </c>
      <c r="E317" s="22">
        <f t="shared" ca="1" si="24"/>
        <v>20487.326194807869</v>
      </c>
    </row>
    <row r="318" spans="1:5" x14ac:dyDescent="0.25">
      <c r="A318" s="21">
        <f t="shared" ca="1" si="20"/>
        <v>183</v>
      </c>
      <c r="B318" s="3">
        <f t="shared" ca="1" si="21"/>
        <v>45</v>
      </c>
      <c r="C318" s="3">
        <f t="shared" ca="1" si="22"/>
        <v>31</v>
      </c>
      <c r="D318" s="3">
        <f t="shared" ca="1" si="23"/>
        <v>1591.1200000000001</v>
      </c>
      <c r="E318" s="22">
        <f t="shared" ca="1" si="24"/>
        <v>5392.913662876982</v>
      </c>
    </row>
    <row r="319" spans="1:5" x14ac:dyDescent="0.25">
      <c r="A319" s="21">
        <f t="shared" ca="1" si="20"/>
        <v>195</v>
      </c>
      <c r="B319" s="3">
        <f t="shared" ca="1" si="21"/>
        <v>49</v>
      </c>
      <c r="C319" s="3">
        <f t="shared" ca="1" si="22"/>
        <v>26</v>
      </c>
      <c r="D319" s="3">
        <f t="shared" ca="1" si="23"/>
        <v>3052.6</v>
      </c>
      <c r="E319" s="22">
        <f t="shared" ca="1" si="24"/>
        <v>11487.088615407551</v>
      </c>
    </row>
    <row r="320" spans="1:5" x14ac:dyDescent="0.25">
      <c r="A320" s="21">
        <f t="shared" ca="1" si="20"/>
        <v>165</v>
      </c>
      <c r="B320" s="3">
        <f t="shared" ca="1" si="21"/>
        <v>53</v>
      </c>
      <c r="C320" s="3">
        <f t="shared" ca="1" si="22"/>
        <v>26</v>
      </c>
      <c r="D320" s="3">
        <f t="shared" ca="1" si="23"/>
        <v>3029.8</v>
      </c>
      <c r="E320" s="22">
        <f t="shared" ca="1" si="24"/>
        <v>11392.015683230788</v>
      </c>
    </row>
    <row r="321" spans="1:5" x14ac:dyDescent="0.25">
      <c r="A321" s="21">
        <f t="shared" ca="1" si="20"/>
        <v>181</v>
      </c>
      <c r="B321" s="3">
        <f t="shared" ca="1" si="21"/>
        <v>45</v>
      </c>
      <c r="C321" s="3">
        <f t="shared" ca="1" si="22"/>
        <v>35</v>
      </c>
      <c r="D321" s="3">
        <f t="shared" ca="1" si="23"/>
        <v>1019.6</v>
      </c>
      <c r="E321" s="22">
        <f t="shared" ca="1" si="24"/>
        <v>3009.7521629794319</v>
      </c>
    </row>
    <row r="322" spans="1:5" x14ac:dyDescent="0.25">
      <c r="A322" s="21">
        <f t="shared" ref="A322:A385" ca="1" si="25">RANDBETWEEN(150,300)</f>
        <v>242</v>
      </c>
      <c r="B322" s="3">
        <f t="shared" ref="B322:B385" ca="1" si="26">RANDBETWEEN(40,55)</f>
        <v>54</v>
      </c>
      <c r="C322" s="3">
        <f t="shared" ref="C322:C385" ca="1" si="27">RANDBETWEEN(25,35)</f>
        <v>35</v>
      </c>
      <c r="D322" s="3">
        <f t="shared" ca="1" si="23"/>
        <v>3138.48</v>
      </c>
      <c r="E322" s="22">
        <f t="shared" ca="1" si="24"/>
        <v>11845.196659940029</v>
      </c>
    </row>
    <row r="323" spans="1:5" x14ac:dyDescent="0.25">
      <c r="A323" s="21">
        <f t="shared" ca="1" si="25"/>
        <v>207</v>
      </c>
      <c r="B323" s="3">
        <f t="shared" ca="1" si="26"/>
        <v>52</v>
      </c>
      <c r="C323" s="3">
        <f t="shared" ca="1" si="27"/>
        <v>28</v>
      </c>
      <c r="D323" s="3">
        <f t="shared" ref="D323:D386" ca="1" si="28">(A323*(B323-C323)-$N$1-$N$2)*(1-$N$3)+$N$2</f>
        <v>3419.68</v>
      </c>
      <c r="E323" s="22">
        <f t="shared" ref="E323:E386" ca="1" si="29">PV($N$4,$N$5,-D323,$N$6,1)</f>
        <v>13017.76282345345</v>
      </c>
    </row>
    <row r="324" spans="1:5" x14ac:dyDescent="0.25">
      <c r="A324" s="21">
        <f t="shared" ca="1" si="25"/>
        <v>159</v>
      </c>
      <c r="B324" s="3">
        <f t="shared" ca="1" si="26"/>
        <v>40</v>
      </c>
      <c r="C324" s="3">
        <f t="shared" ca="1" si="27"/>
        <v>26</v>
      </c>
      <c r="D324" s="3">
        <f t="shared" ca="1" si="28"/>
        <v>1335.76</v>
      </c>
      <c r="E324" s="22">
        <f t="shared" ca="1" si="29"/>
        <v>4328.0968224972257</v>
      </c>
    </row>
    <row r="325" spans="1:5" x14ac:dyDescent="0.25">
      <c r="A325" s="21">
        <f t="shared" ca="1" si="25"/>
        <v>226</v>
      </c>
      <c r="B325" s="3">
        <f t="shared" ca="1" si="26"/>
        <v>49</v>
      </c>
      <c r="C325" s="3">
        <f t="shared" ca="1" si="27"/>
        <v>34</v>
      </c>
      <c r="D325" s="3">
        <f t="shared" ca="1" si="28"/>
        <v>2220.4</v>
      </c>
      <c r="E325" s="22">
        <f t="shared" ca="1" si="29"/>
        <v>8016.9265909556671</v>
      </c>
    </row>
    <row r="326" spans="1:5" x14ac:dyDescent="0.25">
      <c r="A326" s="21">
        <f t="shared" ca="1" si="25"/>
        <v>176</v>
      </c>
      <c r="B326" s="3">
        <f t="shared" ca="1" si="26"/>
        <v>42</v>
      </c>
      <c r="C326" s="3">
        <f t="shared" ca="1" si="27"/>
        <v>26</v>
      </c>
      <c r="D326" s="3">
        <f t="shared" ca="1" si="28"/>
        <v>1784.16</v>
      </c>
      <c r="E326" s="22">
        <f t="shared" ca="1" si="29"/>
        <v>6197.8644886402508</v>
      </c>
    </row>
    <row r="327" spans="1:5" x14ac:dyDescent="0.25">
      <c r="A327" s="21">
        <f t="shared" ca="1" si="25"/>
        <v>280</v>
      </c>
      <c r="B327" s="3">
        <f t="shared" ca="1" si="26"/>
        <v>54</v>
      </c>
      <c r="C327" s="3">
        <f t="shared" ca="1" si="27"/>
        <v>33</v>
      </c>
      <c r="D327" s="3">
        <f t="shared" ca="1" si="28"/>
        <v>4112.8</v>
      </c>
      <c r="E327" s="22">
        <f t="shared" ca="1" si="29"/>
        <v>15907.979961627074</v>
      </c>
    </row>
    <row r="328" spans="1:5" x14ac:dyDescent="0.25">
      <c r="A328" s="21">
        <f t="shared" ca="1" si="25"/>
        <v>158</v>
      </c>
      <c r="B328" s="3">
        <f t="shared" ca="1" si="26"/>
        <v>45</v>
      </c>
      <c r="C328" s="3">
        <f t="shared" ca="1" si="27"/>
        <v>28</v>
      </c>
      <c r="D328" s="3">
        <f t="shared" ca="1" si="28"/>
        <v>1685.3600000000001</v>
      </c>
      <c r="E328" s="22">
        <f t="shared" ca="1" si="29"/>
        <v>5785.8817825409396</v>
      </c>
    </row>
    <row r="329" spans="1:5" x14ac:dyDescent="0.25">
      <c r="A329" s="21">
        <f t="shared" ca="1" si="25"/>
        <v>193</v>
      </c>
      <c r="B329" s="3">
        <f t="shared" ca="1" si="26"/>
        <v>41</v>
      </c>
      <c r="C329" s="3">
        <f t="shared" ca="1" si="27"/>
        <v>25</v>
      </c>
      <c r="D329" s="3">
        <f t="shared" ca="1" si="28"/>
        <v>1990.88</v>
      </c>
      <c r="E329" s="22">
        <f t="shared" ca="1" si="29"/>
        <v>7059.8590737095765</v>
      </c>
    </row>
    <row r="330" spans="1:5" x14ac:dyDescent="0.25">
      <c r="A330" s="21">
        <f t="shared" ca="1" si="25"/>
        <v>293</v>
      </c>
      <c r="B330" s="3">
        <f t="shared" ca="1" si="26"/>
        <v>42</v>
      </c>
      <c r="C330" s="3">
        <f t="shared" ca="1" si="27"/>
        <v>35</v>
      </c>
      <c r="D330" s="3">
        <f t="shared" ca="1" si="28"/>
        <v>1202.76</v>
      </c>
      <c r="E330" s="22">
        <f t="shared" ca="1" si="29"/>
        <v>3773.5047181327691</v>
      </c>
    </row>
    <row r="331" spans="1:5" x14ac:dyDescent="0.25">
      <c r="A331" s="21">
        <f t="shared" ca="1" si="25"/>
        <v>234</v>
      </c>
      <c r="B331" s="3">
        <f t="shared" ca="1" si="26"/>
        <v>47</v>
      </c>
      <c r="C331" s="3">
        <f t="shared" ca="1" si="27"/>
        <v>32</v>
      </c>
      <c r="D331" s="3">
        <f t="shared" ca="1" si="28"/>
        <v>2311.6</v>
      </c>
      <c r="E331" s="22">
        <f t="shared" ca="1" si="29"/>
        <v>8397.2183196627211</v>
      </c>
    </row>
    <row r="332" spans="1:5" x14ac:dyDescent="0.25">
      <c r="A332" s="21">
        <f t="shared" ca="1" si="25"/>
        <v>163</v>
      </c>
      <c r="B332" s="3">
        <f t="shared" ca="1" si="26"/>
        <v>49</v>
      </c>
      <c r="C332" s="3">
        <f t="shared" ca="1" si="27"/>
        <v>32</v>
      </c>
      <c r="D332" s="3">
        <f t="shared" ca="1" si="28"/>
        <v>1749.96</v>
      </c>
      <c r="E332" s="22">
        <f t="shared" ca="1" si="29"/>
        <v>6055.2550903751044</v>
      </c>
    </row>
    <row r="333" spans="1:5" x14ac:dyDescent="0.25">
      <c r="A333" s="21">
        <f t="shared" ca="1" si="25"/>
        <v>165</v>
      </c>
      <c r="B333" s="3">
        <f t="shared" ca="1" si="26"/>
        <v>43</v>
      </c>
      <c r="C333" s="3">
        <f t="shared" ca="1" si="27"/>
        <v>34</v>
      </c>
      <c r="D333" s="3">
        <f t="shared" ca="1" si="28"/>
        <v>772.6</v>
      </c>
      <c r="E333" s="22">
        <f t="shared" ca="1" si="29"/>
        <v>1979.7953977311561</v>
      </c>
    </row>
    <row r="334" spans="1:5" x14ac:dyDescent="0.25">
      <c r="A334" s="21">
        <f t="shared" ca="1" si="25"/>
        <v>297</v>
      </c>
      <c r="B334" s="3">
        <f t="shared" ca="1" si="26"/>
        <v>53</v>
      </c>
      <c r="C334" s="3">
        <f t="shared" ca="1" si="27"/>
        <v>33</v>
      </c>
      <c r="D334" s="3">
        <f t="shared" ca="1" si="28"/>
        <v>4158.3999999999996</v>
      </c>
      <c r="E334" s="22">
        <f t="shared" ca="1" si="29"/>
        <v>16098.1258259806</v>
      </c>
    </row>
    <row r="335" spans="1:5" x14ac:dyDescent="0.25">
      <c r="A335" s="21">
        <f t="shared" ca="1" si="25"/>
        <v>293</v>
      </c>
      <c r="B335" s="3">
        <f t="shared" ca="1" si="26"/>
        <v>54</v>
      </c>
      <c r="C335" s="3">
        <f t="shared" ca="1" si="27"/>
        <v>25</v>
      </c>
      <c r="D335" s="3">
        <f t="shared" ca="1" si="28"/>
        <v>6101.72</v>
      </c>
      <c r="E335" s="22">
        <f t="shared" ca="1" si="29"/>
        <v>24201.508745180116</v>
      </c>
    </row>
    <row r="336" spans="1:5" x14ac:dyDescent="0.25">
      <c r="A336" s="21">
        <f t="shared" ca="1" si="25"/>
        <v>289</v>
      </c>
      <c r="B336" s="3">
        <f t="shared" ca="1" si="26"/>
        <v>54</v>
      </c>
      <c r="C336" s="3">
        <f t="shared" ca="1" si="27"/>
        <v>34</v>
      </c>
      <c r="D336" s="3">
        <f t="shared" ca="1" si="28"/>
        <v>4036.8</v>
      </c>
      <c r="E336" s="22">
        <f t="shared" ca="1" si="29"/>
        <v>15591.070187704529</v>
      </c>
    </row>
    <row r="337" spans="1:5" x14ac:dyDescent="0.25">
      <c r="A337" s="21">
        <f t="shared" ca="1" si="25"/>
        <v>258</v>
      </c>
      <c r="B337" s="3">
        <f t="shared" ca="1" si="26"/>
        <v>43</v>
      </c>
      <c r="C337" s="3">
        <f t="shared" ca="1" si="27"/>
        <v>26</v>
      </c>
      <c r="D337" s="3">
        <f t="shared" ca="1" si="28"/>
        <v>2977.36</v>
      </c>
      <c r="E337" s="22">
        <f t="shared" ca="1" si="29"/>
        <v>11173.347939224232</v>
      </c>
    </row>
    <row r="338" spans="1:5" x14ac:dyDescent="0.25">
      <c r="A338" s="21">
        <f t="shared" ca="1" si="25"/>
        <v>180</v>
      </c>
      <c r="B338" s="3">
        <f t="shared" ca="1" si="26"/>
        <v>52</v>
      </c>
      <c r="C338" s="3">
        <f t="shared" ca="1" si="27"/>
        <v>30</v>
      </c>
      <c r="D338" s="3">
        <f t="shared" ca="1" si="28"/>
        <v>2653.6</v>
      </c>
      <c r="E338" s="22">
        <f t="shared" ca="1" si="29"/>
        <v>9823.3123023141816</v>
      </c>
    </row>
    <row r="339" spans="1:5" x14ac:dyDescent="0.25">
      <c r="A339" s="21">
        <f t="shared" ca="1" si="25"/>
        <v>164</v>
      </c>
      <c r="B339" s="3">
        <f t="shared" ca="1" si="26"/>
        <v>45</v>
      </c>
      <c r="C339" s="3">
        <f t="shared" ca="1" si="27"/>
        <v>34</v>
      </c>
      <c r="D339" s="3">
        <f t="shared" ca="1" si="28"/>
        <v>1015.04</v>
      </c>
      <c r="E339" s="22">
        <f t="shared" ca="1" si="29"/>
        <v>2990.7375765440793</v>
      </c>
    </row>
    <row r="340" spans="1:5" x14ac:dyDescent="0.25">
      <c r="A340" s="21">
        <f t="shared" ca="1" si="25"/>
        <v>258</v>
      </c>
      <c r="B340" s="3">
        <f t="shared" ca="1" si="26"/>
        <v>55</v>
      </c>
      <c r="C340" s="3">
        <f t="shared" ca="1" si="27"/>
        <v>29</v>
      </c>
      <c r="D340" s="3">
        <f t="shared" ca="1" si="28"/>
        <v>4742.08</v>
      </c>
      <c r="E340" s="22">
        <f t="shared" ca="1" si="29"/>
        <v>18531.992889705758</v>
      </c>
    </row>
    <row r="341" spans="1:5" x14ac:dyDescent="0.25">
      <c r="A341" s="21">
        <f t="shared" ca="1" si="25"/>
        <v>159</v>
      </c>
      <c r="B341" s="3">
        <f t="shared" ca="1" si="26"/>
        <v>48</v>
      </c>
      <c r="C341" s="3">
        <f t="shared" ca="1" si="27"/>
        <v>26</v>
      </c>
      <c r="D341" s="3">
        <f t="shared" ca="1" si="28"/>
        <v>2302.48</v>
      </c>
      <c r="E341" s="22">
        <f t="shared" ca="1" si="29"/>
        <v>8359.1891467920177</v>
      </c>
    </row>
    <row r="342" spans="1:5" x14ac:dyDescent="0.25">
      <c r="A342" s="21">
        <f t="shared" ca="1" si="25"/>
        <v>272</v>
      </c>
      <c r="B342" s="3">
        <f t="shared" ca="1" si="26"/>
        <v>41</v>
      </c>
      <c r="C342" s="3">
        <f t="shared" ca="1" si="27"/>
        <v>25</v>
      </c>
      <c r="D342" s="3">
        <f t="shared" ca="1" si="28"/>
        <v>2951.52</v>
      </c>
      <c r="E342" s="22">
        <f t="shared" ca="1" si="29"/>
        <v>11065.598616090565</v>
      </c>
    </row>
    <row r="343" spans="1:5" x14ac:dyDescent="0.25">
      <c r="A343" s="21">
        <f t="shared" ca="1" si="25"/>
        <v>190</v>
      </c>
      <c r="B343" s="3">
        <f t="shared" ca="1" si="26"/>
        <v>40</v>
      </c>
      <c r="C343" s="3">
        <f t="shared" ca="1" si="27"/>
        <v>32</v>
      </c>
      <c r="D343" s="3">
        <f t="shared" ca="1" si="28"/>
        <v>799.2</v>
      </c>
      <c r="E343" s="22">
        <f t="shared" ca="1" si="29"/>
        <v>2090.7138186040474</v>
      </c>
    </row>
    <row r="344" spans="1:5" x14ac:dyDescent="0.25">
      <c r="A344" s="21">
        <f t="shared" ca="1" si="25"/>
        <v>188</v>
      </c>
      <c r="B344" s="3">
        <f t="shared" ca="1" si="26"/>
        <v>42</v>
      </c>
      <c r="C344" s="3">
        <f t="shared" ca="1" si="27"/>
        <v>33</v>
      </c>
      <c r="D344" s="3">
        <f t="shared" ca="1" si="28"/>
        <v>929.92</v>
      </c>
      <c r="E344" s="22">
        <f t="shared" ca="1" si="29"/>
        <v>2635.7986297508273</v>
      </c>
    </row>
    <row r="345" spans="1:5" x14ac:dyDescent="0.25">
      <c r="A345" s="21">
        <f t="shared" ca="1" si="25"/>
        <v>176</v>
      </c>
      <c r="B345" s="3">
        <f t="shared" ca="1" si="26"/>
        <v>51</v>
      </c>
      <c r="C345" s="3">
        <f t="shared" ca="1" si="27"/>
        <v>26</v>
      </c>
      <c r="D345" s="3">
        <f t="shared" ca="1" si="28"/>
        <v>2988</v>
      </c>
      <c r="E345" s="22">
        <f t="shared" ca="1" si="29"/>
        <v>11217.715307573386</v>
      </c>
    </row>
    <row r="346" spans="1:5" x14ac:dyDescent="0.25">
      <c r="A346" s="21">
        <f t="shared" ca="1" si="25"/>
        <v>212</v>
      </c>
      <c r="B346" s="3">
        <f t="shared" ca="1" si="26"/>
        <v>44</v>
      </c>
      <c r="C346" s="3">
        <f t="shared" ca="1" si="27"/>
        <v>28</v>
      </c>
      <c r="D346" s="3">
        <f t="shared" ca="1" si="28"/>
        <v>2221.92</v>
      </c>
      <c r="E346" s="22">
        <f t="shared" ca="1" si="29"/>
        <v>8023.2647864341188</v>
      </c>
    </row>
    <row r="347" spans="1:5" x14ac:dyDescent="0.25">
      <c r="A347" s="21">
        <f t="shared" ca="1" si="25"/>
        <v>250</v>
      </c>
      <c r="B347" s="3">
        <f t="shared" ca="1" si="26"/>
        <v>52</v>
      </c>
      <c r="C347" s="3">
        <f t="shared" ca="1" si="27"/>
        <v>25</v>
      </c>
      <c r="D347" s="3">
        <f t="shared" ca="1" si="28"/>
        <v>4774</v>
      </c>
      <c r="E347" s="22">
        <f t="shared" ca="1" si="29"/>
        <v>18665.094994753228</v>
      </c>
    </row>
    <row r="348" spans="1:5" x14ac:dyDescent="0.25">
      <c r="A348" s="21">
        <f t="shared" ca="1" si="25"/>
        <v>279</v>
      </c>
      <c r="B348" s="3">
        <f t="shared" ca="1" si="26"/>
        <v>42</v>
      </c>
      <c r="C348" s="3">
        <f t="shared" ca="1" si="27"/>
        <v>30</v>
      </c>
      <c r="D348" s="3">
        <f t="shared" ca="1" si="28"/>
        <v>2188.48</v>
      </c>
      <c r="E348" s="22">
        <f t="shared" ca="1" si="29"/>
        <v>7883.8244859081979</v>
      </c>
    </row>
    <row r="349" spans="1:5" x14ac:dyDescent="0.25">
      <c r="A349" s="21">
        <f t="shared" ca="1" si="25"/>
        <v>257</v>
      </c>
      <c r="B349" s="3">
        <f t="shared" ca="1" si="26"/>
        <v>53</v>
      </c>
      <c r="C349" s="3">
        <f t="shared" ca="1" si="27"/>
        <v>31</v>
      </c>
      <c r="D349" s="3">
        <f t="shared" ca="1" si="28"/>
        <v>3941.04</v>
      </c>
      <c r="E349" s="22">
        <f t="shared" ca="1" si="29"/>
        <v>15191.763872562118</v>
      </c>
    </row>
    <row r="350" spans="1:5" x14ac:dyDescent="0.25">
      <c r="A350" s="21">
        <f t="shared" ca="1" si="25"/>
        <v>199</v>
      </c>
      <c r="B350" s="3">
        <f t="shared" ca="1" si="26"/>
        <v>49</v>
      </c>
      <c r="C350" s="3">
        <f t="shared" ca="1" si="27"/>
        <v>32</v>
      </c>
      <c r="D350" s="3">
        <f t="shared" ca="1" si="28"/>
        <v>2215.08</v>
      </c>
      <c r="E350" s="22">
        <f t="shared" ca="1" si="29"/>
        <v>7994.7429067810881</v>
      </c>
    </row>
    <row r="351" spans="1:5" x14ac:dyDescent="0.25">
      <c r="A351" s="21">
        <f t="shared" ca="1" si="25"/>
        <v>195</v>
      </c>
      <c r="B351" s="3">
        <f t="shared" ca="1" si="26"/>
        <v>53</v>
      </c>
      <c r="C351" s="3">
        <f t="shared" ca="1" si="27"/>
        <v>25</v>
      </c>
      <c r="D351" s="3">
        <f t="shared" ca="1" si="28"/>
        <v>3793.6</v>
      </c>
      <c r="E351" s="22">
        <f t="shared" ca="1" si="29"/>
        <v>14576.958911152378</v>
      </c>
    </row>
    <row r="352" spans="1:5" x14ac:dyDescent="0.25">
      <c r="A352" s="21">
        <f t="shared" ca="1" si="25"/>
        <v>286</v>
      </c>
      <c r="B352" s="3">
        <f t="shared" ca="1" si="26"/>
        <v>40</v>
      </c>
      <c r="C352" s="3">
        <f t="shared" ca="1" si="27"/>
        <v>32</v>
      </c>
      <c r="D352" s="3">
        <f t="shared" ca="1" si="28"/>
        <v>1382.88</v>
      </c>
      <c r="E352" s="22">
        <f t="shared" ca="1" si="29"/>
        <v>4524.5808823292055</v>
      </c>
    </row>
    <row r="353" spans="1:5" x14ac:dyDescent="0.25">
      <c r="A353" s="21">
        <f t="shared" ca="1" si="25"/>
        <v>286</v>
      </c>
      <c r="B353" s="3">
        <f t="shared" ca="1" si="26"/>
        <v>41</v>
      </c>
      <c r="C353" s="3">
        <f t="shared" ca="1" si="27"/>
        <v>34</v>
      </c>
      <c r="D353" s="3">
        <f t="shared" ca="1" si="28"/>
        <v>1165.52</v>
      </c>
      <c r="E353" s="22">
        <f t="shared" ca="1" si="29"/>
        <v>3618.2189289107214</v>
      </c>
    </row>
    <row r="354" spans="1:5" x14ac:dyDescent="0.25">
      <c r="A354" s="21">
        <f t="shared" ca="1" si="25"/>
        <v>217</v>
      </c>
      <c r="B354" s="3">
        <f t="shared" ca="1" si="26"/>
        <v>45</v>
      </c>
      <c r="C354" s="3">
        <f t="shared" ca="1" si="27"/>
        <v>31</v>
      </c>
      <c r="D354" s="3">
        <f t="shared" ca="1" si="28"/>
        <v>1952.88</v>
      </c>
      <c r="E354" s="22">
        <f t="shared" ca="1" si="29"/>
        <v>6901.4041867483029</v>
      </c>
    </row>
    <row r="355" spans="1:5" x14ac:dyDescent="0.25">
      <c r="A355" s="21">
        <f t="shared" ca="1" si="25"/>
        <v>261</v>
      </c>
      <c r="B355" s="3">
        <f t="shared" ca="1" si="26"/>
        <v>46</v>
      </c>
      <c r="C355" s="3">
        <f t="shared" ca="1" si="27"/>
        <v>32</v>
      </c>
      <c r="D355" s="3">
        <f t="shared" ca="1" si="28"/>
        <v>2421.04</v>
      </c>
      <c r="E355" s="22">
        <f t="shared" ca="1" si="29"/>
        <v>8853.5683941111893</v>
      </c>
    </row>
    <row r="356" spans="1:5" x14ac:dyDescent="0.25">
      <c r="A356" s="21">
        <f t="shared" ca="1" si="25"/>
        <v>213</v>
      </c>
      <c r="B356" s="3">
        <f t="shared" ca="1" si="26"/>
        <v>48</v>
      </c>
      <c r="C356" s="3">
        <f t="shared" ca="1" si="27"/>
        <v>33</v>
      </c>
      <c r="D356" s="3">
        <f t="shared" ca="1" si="28"/>
        <v>2072.1999999999998</v>
      </c>
      <c r="E356" s="22">
        <f t="shared" ca="1" si="29"/>
        <v>7398.9525318067008</v>
      </c>
    </row>
    <row r="357" spans="1:5" x14ac:dyDescent="0.25">
      <c r="A357" s="21">
        <f t="shared" ca="1" si="25"/>
        <v>189</v>
      </c>
      <c r="B357" s="3">
        <f t="shared" ca="1" si="26"/>
        <v>41</v>
      </c>
      <c r="C357" s="3">
        <f t="shared" ca="1" si="27"/>
        <v>25</v>
      </c>
      <c r="D357" s="3">
        <f t="shared" ca="1" si="28"/>
        <v>1942.24</v>
      </c>
      <c r="E357" s="22">
        <f t="shared" ca="1" si="29"/>
        <v>6857.0368183991468</v>
      </c>
    </row>
    <row r="358" spans="1:5" x14ac:dyDescent="0.25">
      <c r="A358" s="21">
        <f t="shared" ca="1" si="25"/>
        <v>156</v>
      </c>
      <c r="B358" s="3">
        <f t="shared" ca="1" si="26"/>
        <v>51</v>
      </c>
      <c r="C358" s="3">
        <f t="shared" ca="1" si="27"/>
        <v>30</v>
      </c>
      <c r="D358" s="3">
        <f t="shared" ca="1" si="28"/>
        <v>2133.7600000000002</v>
      </c>
      <c r="E358" s="22">
        <f t="shared" ca="1" si="29"/>
        <v>7655.6494486839647</v>
      </c>
    </row>
    <row r="359" spans="1:5" x14ac:dyDescent="0.25">
      <c r="A359" s="21">
        <f t="shared" ca="1" si="25"/>
        <v>153</v>
      </c>
      <c r="B359" s="3">
        <f t="shared" ca="1" si="26"/>
        <v>44</v>
      </c>
      <c r="C359" s="3">
        <f t="shared" ca="1" si="27"/>
        <v>28</v>
      </c>
      <c r="D359" s="3">
        <f t="shared" ca="1" si="28"/>
        <v>1504.48</v>
      </c>
      <c r="E359" s="22">
        <f t="shared" ca="1" si="29"/>
        <v>5031.6365206052787</v>
      </c>
    </row>
    <row r="360" spans="1:5" x14ac:dyDescent="0.25">
      <c r="A360" s="21">
        <f t="shared" ca="1" si="25"/>
        <v>287</v>
      </c>
      <c r="B360" s="3">
        <f t="shared" ca="1" si="26"/>
        <v>55</v>
      </c>
      <c r="C360" s="3">
        <f t="shared" ca="1" si="27"/>
        <v>27</v>
      </c>
      <c r="D360" s="3">
        <f t="shared" ca="1" si="28"/>
        <v>5751.36</v>
      </c>
      <c r="E360" s="22">
        <f t="shared" ca="1" si="29"/>
        <v>22740.554687397176</v>
      </c>
    </row>
    <row r="361" spans="1:5" x14ac:dyDescent="0.25">
      <c r="A361" s="21">
        <f t="shared" ca="1" si="25"/>
        <v>227</v>
      </c>
      <c r="B361" s="3">
        <f t="shared" ca="1" si="26"/>
        <v>53</v>
      </c>
      <c r="C361" s="3">
        <f t="shared" ca="1" si="27"/>
        <v>26</v>
      </c>
      <c r="D361" s="3">
        <f t="shared" ca="1" si="28"/>
        <v>4302.04</v>
      </c>
      <c r="E361" s="22">
        <f t="shared" ca="1" si="29"/>
        <v>16697.085298694215</v>
      </c>
    </row>
    <row r="362" spans="1:5" x14ac:dyDescent="0.25">
      <c r="A362" s="21">
        <f t="shared" ca="1" si="25"/>
        <v>278</v>
      </c>
      <c r="B362" s="3">
        <f t="shared" ca="1" si="26"/>
        <v>40</v>
      </c>
      <c r="C362" s="3">
        <f t="shared" ca="1" si="27"/>
        <v>30</v>
      </c>
      <c r="D362" s="3">
        <f t="shared" ca="1" si="28"/>
        <v>1756.8</v>
      </c>
      <c r="E362" s="22">
        <f t="shared" ca="1" si="29"/>
        <v>6083.7769700281333</v>
      </c>
    </row>
    <row r="363" spans="1:5" x14ac:dyDescent="0.25">
      <c r="A363" s="21">
        <f t="shared" ca="1" si="25"/>
        <v>273</v>
      </c>
      <c r="B363" s="3">
        <f t="shared" ca="1" si="26"/>
        <v>46</v>
      </c>
      <c r="C363" s="3">
        <f t="shared" ca="1" si="27"/>
        <v>27</v>
      </c>
      <c r="D363" s="3">
        <f t="shared" ca="1" si="28"/>
        <v>3586.12</v>
      </c>
      <c r="E363" s="22">
        <f t="shared" ca="1" si="29"/>
        <v>13711.795228343826</v>
      </c>
    </row>
    <row r="364" spans="1:5" x14ac:dyDescent="0.25">
      <c r="A364" s="21">
        <f t="shared" ca="1" si="25"/>
        <v>238</v>
      </c>
      <c r="B364" s="3">
        <f t="shared" ca="1" si="26"/>
        <v>46</v>
      </c>
      <c r="C364" s="3">
        <f t="shared" ca="1" si="27"/>
        <v>26</v>
      </c>
      <c r="D364" s="3">
        <f t="shared" ca="1" si="28"/>
        <v>3261.6</v>
      </c>
      <c r="E364" s="22">
        <f t="shared" ca="1" si="29"/>
        <v>12358.590493694554</v>
      </c>
    </row>
    <row r="365" spans="1:5" x14ac:dyDescent="0.25">
      <c r="A365" s="21">
        <f t="shared" ca="1" si="25"/>
        <v>164</v>
      </c>
      <c r="B365" s="3">
        <f t="shared" ca="1" si="26"/>
        <v>46</v>
      </c>
      <c r="C365" s="3">
        <f t="shared" ca="1" si="27"/>
        <v>27</v>
      </c>
      <c r="D365" s="3">
        <f t="shared" ca="1" si="28"/>
        <v>2012.16</v>
      </c>
      <c r="E365" s="22">
        <f t="shared" ca="1" si="29"/>
        <v>7148.5938104078905</v>
      </c>
    </row>
    <row r="366" spans="1:5" x14ac:dyDescent="0.25">
      <c r="A366" s="21">
        <f t="shared" ca="1" si="25"/>
        <v>170</v>
      </c>
      <c r="B366" s="3">
        <f t="shared" ca="1" si="26"/>
        <v>47</v>
      </c>
      <c r="C366" s="3">
        <f t="shared" ca="1" si="27"/>
        <v>27</v>
      </c>
      <c r="D366" s="3">
        <f t="shared" ca="1" si="28"/>
        <v>2228</v>
      </c>
      <c r="E366" s="22">
        <f t="shared" ca="1" si="29"/>
        <v>8048.6175683479214</v>
      </c>
    </row>
    <row r="367" spans="1:5" x14ac:dyDescent="0.25">
      <c r="A367" s="21">
        <f t="shared" ca="1" si="25"/>
        <v>158</v>
      </c>
      <c r="B367" s="3">
        <f t="shared" ca="1" si="26"/>
        <v>47</v>
      </c>
      <c r="C367" s="3">
        <f t="shared" ca="1" si="27"/>
        <v>32</v>
      </c>
      <c r="D367" s="3">
        <f t="shared" ca="1" si="28"/>
        <v>1445.2</v>
      </c>
      <c r="E367" s="22">
        <f t="shared" ca="1" si="29"/>
        <v>4784.446896945693</v>
      </c>
    </row>
    <row r="368" spans="1:5" x14ac:dyDescent="0.25">
      <c r="A368" s="21">
        <f t="shared" ca="1" si="25"/>
        <v>152</v>
      </c>
      <c r="B368" s="3">
        <f t="shared" ca="1" si="26"/>
        <v>45</v>
      </c>
      <c r="C368" s="3">
        <f t="shared" ca="1" si="27"/>
        <v>33</v>
      </c>
      <c r="D368" s="3">
        <f t="shared" ca="1" si="28"/>
        <v>1030.24</v>
      </c>
      <c r="E368" s="22">
        <f t="shared" ca="1" si="29"/>
        <v>3054.1195313285889</v>
      </c>
    </row>
    <row r="369" spans="1:5" x14ac:dyDescent="0.25">
      <c r="A369" s="21">
        <f t="shared" ca="1" si="25"/>
        <v>289</v>
      </c>
      <c r="B369" s="3">
        <f t="shared" ca="1" si="26"/>
        <v>55</v>
      </c>
      <c r="C369" s="3">
        <f t="shared" ca="1" si="27"/>
        <v>30</v>
      </c>
      <c r="D369" s="3">
        <f t="shared" ca="1" si="28"/>
        <v>5135</v>
      </c>
      <c r="E369" s="22">
        <f t="shared" ca="1" si="29"/>
        <v>20170.416420885325</v>
      </c>
    </row>
    <row r="370" spans="1:5" x14ac:dyDescent="0.25">
      <c r="A370" s="21">
        <f t="shared" ca="1" si="25"/>
        <v>284</v>
      </c>
      <c r="B370" s="3">
        <f t="shared" ca="1" si="26"/>
        <v>42</v>
      </c>
      <c r="C370" s="3">
        <f t="shared" ca="1" si="27"/>
        <v>26</v>
      </c>
      <c r="D370" s="3">
        <f t="shared" ca="1" si="28"/>
        <v>3097.44</v>
      </c>
      <c r="E370" s="22">
        <f t="shared" ca="1" si="29"/>
        <v>11674.065382021854</v>
      </c>
    </row>
    <row r="371" spans="1:5" x14ac:dyDescent="0.25">
      <c r="A371" s="21">
        <f t="shared" ca="1" si="25"/>
        <v>296</v>
      </c>
      <c r="B371" s="3">
        <f t="shared" ca="1" si="26"/>
        <v>42</v>
      </c>
      <c r="C371" s="3">
        <f t="shared" ca="1" si="27"/>
        <v>30</v>
      </c>
      <c r="D371" s="3">
        <f t="shared" ca="1" si="28"/>
        <v>2343.52</v>
      </c>
      <c r="E371" s="22">
        <f t="shared" ca="1" si="29"/>
        <v>8530.320424710193</v>
      </c>
    </row>
    <row r="372" spans="1:5" x14ac:dyDescent="0.25">
      <c r="A372" s="21">
        <f t="shared" ca="1" si="25"/>
        <v>206</v>
      </c>
      <c r="B372" s="3">
        <f t="shared" ca="1" si="26"/>
        <v>40</v>
      </c>
      <c r="C372" s="3">
        <f t="shared" ca="1" si="27"/>
        <v>33</v>
      </c>
      <c r="D372" s="3">
        <f t="shared" ca="1" si="28"/>
        <v>739.92</v>
      </c>
      <c r="E372" s="22">
        <f t="shared" ca="1" si="29"/>
        <v>1843.5241949444608</v>
      </c>
    </row>
    <row r="373" spans="1:5" x14ac:dyDescent="0.25">
      <c r="A373" s="21">
        <f t="shared" ca="1" si="25"/>
        <v>244</v>
      </c>
      <c r="B373" s="3">
        <f t="shared" ca="1" si="26"/>
        <v>53</v>
      </c>
      <c r="C373" s="3">
        <f t="shared" ca="1" si="27"/>
        <v>30</v>
      </c>
      <c r="D373" s="3">
        <f t="shared" ca="1" si="28"/>
        <v>3909.12</v>
      </c>
      <c r="E373" s="22">
        <f t="shared" ca="1" si="29"/>
        <v>15058.66176751465</v>
      </c>
    </row>
    <row r="374" spans="1:5" x14ac:dyDescent="0.25">
      <c r="A374" s="21">
        <f t="shared" ca="1" si="25"/>
        <v>171</v>
      </c>
      <c r="B374" s="3">
        <f t="shared" ca="1" si="26"/>
        <v>54</v>
      </c>
      <c r="C374" s="3">
        <f t="shared" ca="1" si="27"/>
        <v>29</v>
      </c>
      <c r="D374" s="3">
        <f t="shared" ca="1" si="28"/>
        <v>2893</v>
      </c>
      <c r="E374" s="22">
        <f t="shared" ca="1" si="29"/>
        <v>10821.578090170204</v>
      </c>
    </row>
    <row r="375" spans="1:5" x14ac:dyDescent="0.25">
      <c r="A375" s="21">
        <f t="shared" ca="1" si="25"/>
        <v>237</v>
      </c>
      <c r="B375" s="3">
        <f t="shared" ca="1" si="26"/>
        <v>42</v>
      </c>
      <c r="C375" s="3">
        <f t="shared" ca="1" si="27"/>
        <v>27</v>
      </c>
      <c r="D375" s="3">
        <f t="shared" ca="1" si="28"/>
        <v>2345.8000000000002</v>
      </c>
      <c r="E375" s="22">
        <f t="shared" ca="1" si="29"/>
        <v>8539.8277179278703</v>
      </c>
    </row>
    <row r="376" spans="1:5" x14ac:dyDescent="0.25">
      <c r="A376" s="21">
        <f t="shared" ca="1" si="25"/>
        <v>218</v>
      </c>
      <c r="B376" s="3">
        <f t="shared" ca="1" si="26"/>
        <v>53</v>
      </c>
      <c r="C376" s="3">
        <f t="shared" ca="1" si="27"/>
        <v>29</v>
      </c>
      <c r="D376" s="3">
        <f t="shared" ca="1" si="28"/>
        <v>3620.32</v>
      </c>
      <c r="E376" s="22">
        <f t="shared" ca="1" si="29"/>
        <v>13854.404626608974</v>
      </c>
    </row>
    <row r="377" spans="1:5" x14ac:dyDescent="0.25">
      <c r="A377" s="21">
        <f t="shared" ca="1" si="25"/>
        <v>198</v>
      </c>
      <c r="B377" s="3">
        <f t="shared" ca="1" si="26"/>
        <v>42</v>
      </c>
      <c r="C377" s="3">
        <f t="shared" ca="1" si="27"/>
        <v>28</v>
      </c>
      <c r="D377" s="3">
        <f t="shared" ca="1" si="28"/>
        <v>1750.72</v>
      </c>
      <c r="E377" s="22">
        <f t="shared" ca="1" si="29"/>
        <v>6058.4241881143289</v>
      </c>
    </row>
    <row r="378" spans="1:5" x14ac:dyDescent="0.25">
      <c r="A378" s="21">
        <f t="shared" ca="1" si="25"/>
        <v>201</v>
      </c>
      <c r="B378" s="3">
        <f t="shared" ca="1" si="26"/>
        <v>50</v>
      </c>
      <c r="C378" s="3">
        <f t="shared" ca="1" si="27"/>
        <v>28</v>
      </c>
      <c r="D378" s="3">
        <f t="shared" ca="1" si="28"/>
        <v>3004.7200000000003</v>
      </c>
      <c r="E378" s="22">
        <f t="shared" ca="1" si="29"/>
        <v>11287.435457836347</v>
      </c>
    </row>
    <row r="379" spans="1:5" x14ac:dyDescent="0.25">
      <c r="A379" s="21">
        <f t="shared" ca="1" si="25"/>
        <v>255</v>
      </c>
      <c r="B379" s="3">
        <f t="shared" ca="1" si="26"/>
        <v>46</v>
      </c>
      <c r="C379" s="3">
        <f t="shared" ca="1" si="27"/>
        <v>29</v>
      </c>
      <c r="D379" s="3">
        <f t="shared" ca="1" si="28"/>
        <v>2938.6</v>
      </c>
      <c r="E379" s="22">
        <f t="shared" ca="1" si="29"/>
        <v>11011.72395452373</v>
      </c>
    </row>
    <row r="380" spans="1:5" x14ac:dyDescent="0.25">
      <c r="A380" s="21">
        <f t="shared" ca="1" si="25"/>
        <v>198</v>
      </c>
      <c r="B380" s="3">
        <f t="shared" ca="1" si="26"/>
        <v>48</v>
      </c>
      <c r="C380" s="3">
        <f t="shared" ca="1" si="27"/>
        <v>25</v>
      </c>
      <c r="D380" s="3">
        <f t="shared" ca="1" si="28"/>
        <v>3105.04</v>
      </c>
      <c r="E380" s="22">
        <f t="shared" ca="1" si="29"/>
        <v>11705.756359414108</v>
      </c>
    </row>
    <row r="381" spans="1:5" x14ac:dyDescent="0.25">
      <c r="A381" s="21">
        <f t="shared" ca="1" si="25"/>
        <v>184</v>
      </c>
      <c r="B381" s="3">
        <f t="shared" ca="1" si="26"/>
        <v>55</v>
      </c>
      <c r="C381" s="3">
        <f t="shared" ca="1" si="27"/>
        <v>26</v>
      </c>
      <c r="D381" s="3">
        <f t="shared" ca="1" si="28"/>
        <v>3699.36</v>
      </c>
      <c r="E381" s="22">
        <f t="shared" ca="1" si="29"/>
        <v>14183.990791488422</v>
      </c>
    </row>
    <row r="382" spans="1:5" x14ac:dyDescent="0.25">
      <c r="A382" s="21">
        <f t="shared" ca="1" si="25"/>
        <v>167</v>
      </c>
      <c r="B382" s="3">
        <f t="shared" ca="1" si="26"/>
        <v>47</v>
      </c>
      <c r="C382" s="3">
        <f t="shared" ca="1" si="27"/>
        <v>25</v>
      </c>
      <c r="D382" s="3">
        <f t="shared" ca="1" si="28"/>
        <v>2436.2400000000002</v>
      </c>
      <c r="E382" s="22">
        <f t="shared" ca="1" si="29"/>
        <v>8916.9503488956998</v>
      </c>
    </row>
    <row r="383" spans="1:5" x14ac:dyDescent="0.25">
      <c r="A383" s="21">
        <f t="shared" ca="1" si="25"/>
        <v>173</v>
      </c>
      <c r="B383" s="3">
        <f t="shared" ca="1" si="26"/>
        <v>43</v>
      </c>
      <c r="C383" s="3">
        <f t="shared" ca="1" si="27"/>
        <v>35</v>
      </c>
      <c r="D383" s="3">
        <f t="shared" ca="1" si="28"/>
        <v>695.84</v>
      </c>
      <c r="E383" s="22">
        <f t="shared" ca="1" si="29"/>
        <v>1659.7165260693841</v>
      </c>
    </row>
    <row r="384" spans="1:5" x14ac:dyDescent="0.25">
      <c r="A384" s="21">
        <f t="shared" ca="1" si="25"/>
        <v>229</v>
      </c>
      <c r="B384" s="3">
        <f t="shared" ca="1" si="26"/>
        <v>53</v>
      </c>
      <c r="C384" s="3">
        <f t="shared" ca="1" si="27"/>
        <v>29</v>
      </c>
      <c r="D384" s="3">
        <f t="shared" ca="1" si="28"/>
        <v>3820.96</v>
      </c>
      <c r="E384" s="22">
        <f t="shared" ca="1" si="29"/>
        <v>14691.046429764498</v>
      </c>
    </row>
    <row r="385" spans="1:5" x14ac:dyDescent="0.25">
      <c r="A385" s="21">
        <f t="shared" ca="1" si="25"/>
        <v>168</v>
      </c>
      <c r="B385" s="3">
        <f t="shared" ca="1" si="26"/>
        <v>40</v>
      </c>
      <c r="C385" s="3">
        <f t="shared" ca="1" si="27"/>
        <v>31</v>
      </c>
      <c r="D385" s="3">
        <f t="shared" ca="1" si="28"/>
        <v>793.12</v>
      </c>
      <c r="E385" s="22">
        <f t="shared" ca="1" si="29"/>
        <v>2065.3610366902435</v>
      </c>
    </row>
    <row r="386" spans="1:5" x14ac:dyDescent="0.25">
      <c r="A386" s="21">
        <f t="shared" ref="A386:A449" ca="1" si="30">RANDBETWEEN(150,300)</f>
        <v>287</v>
      </c>
      <c r="B386" s="3">
        <f t="shared" ref="B386:B449" ca="1" si="31">RANDBETWEEN(40,55)</f>
        <v>46</v>
      </c>
      <c r="C386" s="3">
        <f t="shared" ref="C386:C449" ca="1" si="32">RANDBETWEEN(25,35)</f>
        <v>34</v>
      </c>
      <c r="D386" s="3">
        <f t="shared" ca="1" si="28"/>
        <v>2261.44</v>
      </c>
      <c r="E386" s="22">
        <f t="shared" ca="1" si="29"/>
        <v>8188.0578688738415</v>
      </c>
    </row>
    <row r="387" spans="1:5" x14ac:dyDescent="0.25">
      <c r="A387" s="21">
        <f t="shared" ca="1" si="30"/>
        <v>254</v>
      </c>
      <c r="B387" s="3">
        <f t="shared" ca="1" si="31"/>
        <v>44</v>
      </c>
      <c r="C387" s="3">
        <f t="shared" ca="1" si="32"/>
        <v>25</v>
      </c>
      <c r="D387" s="3">
        <f t="shared" ref="D387:D450" ca="1" si="33">(A387*(B387-C387)-$N$1-$N$2)*(1-$N$3)+$N$2</f>
        <v>3311.76</v>
      </c>
      <c r="E387" s="22">
        <f t="shared" ref="E387:E450" ca="1" si="34">PV($N$4,$N$5,-D387,$N$6,1)</f>
        <v>12567.750944483436</v>
      </c>
    </row>
    <row r="388" spans="1:5" x14ac:dyDescent="0.25">
      <c r="A388" s="21">
        <f t="shared" ca="1" si="30"/>
        <v>198</v>
      </c>
      <c r="B388" s="3">
        <f t="shared" ca="1" si="31"/>
        <v>46</v>
      </c>
      <c r="C388" s="3">
        <f t="shared" ca="1" si="32"/>
        <v>35</v>
      </c>
      <c r="D388" s="3">
        <f t="shared" ca="1" si="33"/>
        <v>1299.28</v>
      </c>
      <c r="E388" s="22">
        <f t="shared" ca="1" si="34"/>
        <v>4175.980131014403</v>
      </c>
    </row>
    <row r="389" spans="1:5" x14ac:dyDescent="0.25">
      <c r="A389" s="21">
        <f t="shared" ca="1" si="30"/>
        <v>226</v>
      </c>
      <c r="B389" s="3">
        <f t="shared" ca="1" si="31"/>
        <v>48</v>
      </c>
      <c r="C389" s="3">
        <f t="shared" ca="1" si="32"/>
        <v>30</v>
      </c>
      <c r="D389" s="3">
        <f t="shared" ca="1" si="33"/>
        <v>2735.68</v>
      </c>
      <c r="E389" s="22">
        <f t="shared" ca="1" si="34"/>
        <v>10165.57485815053</v>
      </c>
    </row>
    <row r="390" spans="1:5" x14ac:dyDescent="0.25">
      <c r="A390" s="21">
        <f t="shared" ca="1" si="30"/>
        <v>276</v>
      </c>
      <c r="B390" s="3">
        <f t="shared" ca="1" si="31"/>
        <v>50</v>
      </c>
      <c r="C390" s="3">
        <f t="shared" ca="1" si="32"/>
        <v>29</v>
      </c>
      <c r="D390" s="3">
        <f t="shared" ca="1" si="33"/>
        <v>4048.96</v>
      </c>
      <c r="E390" s="22">
        <f t="shared" ca="1" si="34"/>
        <v>15641.775751532135</v>
      </c>
    </row>
    <row r="391" spans="1:5" x14ac:dyDescent="0.25">
      <c r="A391" s="21">
        <f t="shared" ca="1" si="30"/>
        <v>189</v>
      </c>
      <c r="B391" s="3">
        <f t="shared" ca="1" si="31"/>
        <v>46</v>
      </c>
      <c r="C391" s="3">
        <f t="shared" ca="1" si="32"/>
        <v>31</v>
      </c>
      <c r="D391" s="3">
        <f t="shared" ca="1" si="33"/>
        <v>1798.6</v>
      </c>
      <c r="E391" s="22">
        <f t="shared" ca="1" si="34"/>
        <v>6258.0773456855331</v>
      </c>
    </row>
    <row r="392" spans="1:5" x14ac:dyDescent="0.25">
      <c r="A392" s="21">
        <f t="shared" ca="1" si="30"/>
        <v>292</v>
      </c>
      <c r="B392" s="3">
        <f t="shared" ca="1" si="31"/>
        <v>50</v>
      </c>
      <c r="C392" s="3">
        <f t="shared" ca="1" si="32"/>
        <v>29</v>
      </c>
      <c r="D392" s="3">
        <f t="shared" ca="1" si="33"/>
        <v>4304.32</v>
      </c>
      <c r="E392" s="22">
        <f t="shared" ca="1" si="34"/>
        <v>16706.592591911889</v>
      </c>
    </row>
    <row r="393" spans="1:5" x14ac:dyDescent="0.25">
      <c r="A393" s="21">
        <f t="shared" ca="1" si="30"/>
        <v>162</v>
      </c>
      <c r="B393" s="3">
        <f t="shared" ca="1" si="31"/>
        <v>45</v>
      </c>
      <c r="C393" s="3">
        <f t="shared" ca="1" si="32"/>
        <v>28</v>
      </c>
      <c r="D393" s="3">
        <f t="shared" ca="1" si="33"/>
        <v>1737.04</v>
      </c>
      <c r="E393" s="22">
        <f t="shared" ca="1" si="34"/>
        <v>6001.3804288082711</v>
      </c>
    </row>
    <row r="394" spans="1:5" x14ac:dyDescent="0.25">
      <c r="A394" s="21">
        <f t="shared" ca="1" si="30"/>
        <v>201</v>
      </c>
      <c r="B394" s="3">
        <f t="shared" ca="1" si="31"/>
        <v>46</v>
      </c>
      <c r="C394" s="3">
        <f t="shared" ca="1" si="32"/>
        <v>32</v>
      </c>
      <c r="D394" s="3">
        <f t="shared" ca="1" si="33"/>
        <v>1782.64</v>
      </c>
      <c r="E394" s="22">
        <f t="shared" ca="1" si="34"/>
        <v>6191.5262931617999</v>
      </c>
    </row>
    <row r="395" spans="1:5" x14ac:dyDescent="0.25">
      <c r="A395" s="21">
        <f t="shared" ca="1" si="30"/>
        <v>207</v>
      </c>
      <c r="B395" s="3">
        <f t="shared" ca="1" si="31"/>
        <v>52</v>
      </c>
      <c r="C395" s="3">
        <f t="shared" ca="1" si="32"/>
        <v>34</v>
      </c>
      <c r="D395" s="3">
        <f t="shared" ca="1" si="33"/>
        <v>2475.7600000000002</v>
      </c>
      <c r="E395" s="22">
        <f t="shared" ca="1" si="34"/>
        <v>9081.7434313354242</v>
      </c>
    </row>
    <row r="396" spans="1:5" x14ac:dyDescent="0.25">
      <c r="A396" s="21">
        <f t="shared" ca="1" si="30"/>
        <v>239</v>
      </c>
      <c r="B396" s="3">
        <f t="shared" ca="1" si="31"/>
        <v>44</v>
      </c>
      <c r="C396" s="3">
        <f t="shared" ca="1" si="32"/>
        <v>33</v>
      </c>
      <c r="D396" s="3">
        <f t="shared" ca="1" si="33"/>
        <v>1642.04</v>
      </c>
      <c r="E396" s="22">
        <f t="shared" ca="1" si="34"/>
        <v>5605.2432114050871</v>
      </c>
    </row>
    <row r="397" spans="1:5" x14ac:dyDescent="0.25">
      <c r="A397" s="21">
        <f t="shared" ca="1" si="30"/>
        <v>207</v>
      </c>
      <c r="B397" s="3">
        <f t="shared" ca="1" si="31"/>
        <v>49</v>
      </c>
      <c r="C397" s="3">
        <f t="shared" ca="1" si="32"/>
        <v>34</v>
      </c>
      <c r="D397" s="3">
        <f t="shared" ca="1" si="33"/>
        <v>2003.8</v>
      </c>
      <c r="E397" s="22">
        <f t="shared" ca="1" si="34"/>
        <v>7113.7337352764098</v>
      </c>
    </row>
    <row r="398" spans="1:5" x14ac:dyDescent="0.25">
      <c r="A398" s="21">
        <f t="shared" ca="1" si="30"/>
        <v>258</v>
      </c>
      <c r="B398" s="3">
        <f t="shared" ca="1" si="31"/>
        <v>51</v>
      </c>
      <c r="C398" s="3">
        <f t="shared" ca="1" si="32"/>
        <v>32</v>
      </c>
      <c r="D398" s="3">
        <f t="shared" ca="1" si="33"/>
        <v>3369.52</v>
      </c>
      <c r="E398" s="22">
        <f t="shared" ca="1" si="34"/>
        <v>12808.602372664569</v>
      </c>
    </row>
    <row r="399" spans="1:5" x14ac:dyDescent="0.25">
      <c r="A399" s="21">
        <f t="shared" ca="1" si="30"/>
        <v>248</v>
      </c>
      <c r="B399" s="3">
        <f t="shared" ca="1" si="31"/>
        <v>54</v>
      </c>
      <c r="C399" s="3">
        <f t="shared" ca="1" si="32"/>
        <v>27</v>
      </c>
      <c r="D399" s="3">
        <f t="shared" ca="1" si="33"/>
        <v>4732.96</v>
      </c>
      <c r="E399" s="22">
        <f t="shared" ca="1" si="34"/>
        <v>18493.963716835053</v>
      </c>
    </row>
    <row r="400" spans="1:5" x14ac:dyDescent="0.25">
      <c r="A400" s="21">
        <f t="shared" ca="1" si="30"/>
        <v>191</v>
      </c>
      <c r="B400" s="3">
        <f t="shared" ca="1" si="31"/>
        <v>40</v>
      </c>
      <c r="C400" s="3">
        <f t="shared" ca="1" si="32"/>
        <v>29</v>
      </c>
      <c r="D400" s="3">
        <f t="shared" ca="1" si="33"/>
        <v>1240.76</v>
      </c>
      <c r="E400" s="22">
        <f t="shared" ca="1" si="34"/>
        <v>3931.9596050940427</v>
      </c>
    </row>
    <row r="401" spans="1:5" x14ac:dyDescent="0.25">
      <c r="A401" s="21">
        <f t="shared" ca="1" si="30"/>
        <v>295</v>
      </c>
      <c r="B401" s="3">
        <f t="shared" ca="1" si="31"/>
        <v>45</v>
      </c>
      <c r="C401" s="3">
        <f t="shared" ca="1" si="32"/>
        <v>31</v>
      </c>
      <c r="D401" s="3">
        <f t="shared" ca="1" si="33"/>
        <v>2782.8</v>
      </c>
      <c r="E401" s="22">
        <f t="shared" ca="1" si="34"/>
        <v>10362.058917982511</v>
      </c>
    </row>
    <row r="402" spans="1:5" x14ac:dyDescent="0.25">
      <c r="A402" s="21">
        <f t="shared" ca="1" si="30"/>
        <v>247</v>
      </c>
      <c r="B402" s="3">
        <f t="shared" ca="1" si="31"/>
        <v>51</v>
      </c>
      <c r="C402" s="3">
        <f t="shared" ca="1" si="32"/>
        <v>32</v>
      </c>
      <c r="D402" s="3">
        <f t="shared" ca="1" si="33"/>
        <v>3210.68</v>
      </c>
      <c r="E402" s="22">
        <f t="shared" ca="1" si="34"/>
        <v>12146.260945166447</v>
      </c>
    </row>
    <row r="403" spans="1:5" x14ac:dyDescent="0.25">
      <c r="A403" s="21">
        <f t="shared" ca="1" si="30"/>
        <v>177</v>
      </c>
      <c r="B403" s="3">
        <f t="shared" ca="1" si="31"/>
        <v>54</v>
      </c>
      <c r="C403" s="3">
        <f t="shared" ca="1" si="32"/>
        <v>26</v>
      </c>
      <c r="D403" s="3">
        <f t="shared" ca="1" si="33"/>
        <v>3410.56</v>
      </c>
      <c r="E403" s="22">
        <f t="shared" ca="1" si="34"/>
        <v>12979.733650582744</v>
      </c>
    </row>
    <row r="404" spans="1:5" x14ac:dyDescent="0.25">
      <c r="A404" s="21">
        <f t="shared" ca="1" si="30"/>
        <v>164</v>
      </c>
      <c r="B404" s="3">
        <f t="shared" ca="1" si="31"/>
        <v>40</v>
      </c>
      <c r="C404" s="3">
        <f t="shared" ca="1" si="32"/>
        <v>33</v>
      </c>
      <c r="D404" s="3">
        <f t="shared" ca="1" si="33"/>
        <v>516.48</v>
      </c>
      <c r="E404" s="22">
        <f t="shared" ca="1" si="34"/>
        <v>911.80945961217458</v>
      </c>
    </row>
    <row r="405" spans="1:5" x14ac:dyDescent="0.25">
      <c r="A405" s="21">
        <f t="shared" ca="1" si="30"/>
        <v>236</v>
      </c>
      <c r="B405" s="3">
        <f t="shared" ca="1" si="31"/>
        <v>55</v>
      </c>
      <c r="C405" s="3">
        <f t="shared" ca="1" si="32"/>
        <v>29</v>
      </c>
      <c r="D405" s="3">
        <f t="shared" ca="1" si="33"/>
        <v>4307.3599999999997</v>
      </c>
      <c r="E405" s="22">
        <f t="shared" ca="1" si="34"/>
        <v>16719.268982868791</v>
      </c>
    </row>
    <row r="406" spans="1:5" x14ac:dyDescent="0.25">
      <c r="A406" s="21">
        <f t="shared" ca="1" si="30"/>
        <v>270</v>
      </c>
      <c r="B406" s="3">
        <f t="shared" ca="1" si="31"/>
        <v>51</v>
      </c>
      <c r="C406" s="3">
        <f t="shared" ca="1" si="32"/>
        <v>31</v>
      </c>
      <c r="D406" s="3">
        <f t="shared" ca="1" si="33"/>
        <v>3748</v>
      </c>
      <c r="E406" s="22">
        <f t="shared" ca="1" si="34"/>
        <v>14386.81304679885</v>
      </c>
    </row>
    <row r="407" spans="1:5" x14ac:dyDescent="0.25">
      <c r="A407" s="21">
        <f t="shared" ca="1" si="30"/>
        <v>224</v>
      </c>
      <c r="B407" s="3">
        <f t="shared" ca="1" si="31"/>
        <v>42</v>
      </c>
      <c r="C407" s="3">
        <f t="shared" ca="1" si="32"/>
        <v>28</v>
      </c>
      <c r="D407" s="3">
        <f t="shared" ca="1" si="33"/>
        <v>2027.3600000000001</v>
      </c>
      <c r="E407" s="22">
        <f t="shared" ca="1" si="34"/>
        <v>7211.9757651923992</v>
      </c>
    </row>
    <row r="408" spans="1:5" x14ac:dyDescent="0.25">
      <c r="A408" s="21">
        <f t="shared" ca="1" si="30"/>
        <v>288</v>
      </c>
      <c r="B408" s="3">
        <f t="shared" ca="1" si="31"/>
        <v>41</v>
      </c>
      <c r="C408" s="3">
        <f t="shared" ca="1" si="32"/>
        <v>27</v>
      </c>
      <c r="D408" s="3">
        <f t="shared" ca="1" si="33"/>
        <v>2708.32</v>
      </c>
      <c r="E408" s="22">
        <f t="shared" ca="1" si="34"/>
        <v>10051.487339538417</v>
      </c>
    </row>
    <row r="409" spans="1:5" x14ac:dyDescent="0.25">
      <c r="A409" s="21">
        <f t="shared" ca="1" si="30"/>
        <v>199</v>
      </c>
      <c r="B409" s="3">
        <f t="shared" ca="1" si="31"/>
        <v>47</v>
      </c>
      <c r="C409" s="3">
        <f t="shared" ca="1" si="32"/>
        <v>35</v>
      </c>
      <c r="D409" s="3">
        <f t="shared" ca="1" si="33"/>
        <v>1458.88</v>
      </c>
      <c r="E409" s="22">
        <f t="shared" ca="1" si="34"/>
        <v>4841.4906562517517</v>
      </c>
    </row>
    <row r="410" spans="1:5" x14ac:dyDescent="0.25">
      <c r="A410" s="21">
        <f t="shared" ca="1" si="30"/>
        <v>245</v>
      </c>
      <c r="B410" s="3">
        <f t="shared" ca="1" si="31"/>
        <v>40</v>
      </c>
      <c r="C410" s="3">
        <f t="shared" ca="1" si="32"/>
        <v>35</v>
      </c>
      <c r="D410" s="3">
        <f t="shared" ca="1" si="33"/>
        <v>575</v>
      </c>
      <c r="E410" s="22">
        <f t="shared" ca="1" si="34"/>
        <v>1155.8299855325354</v>
      </c>
    </row>
    <row r="411" spans="1:5" x14ac:dyDescent="0.25">
      <c r="A411" s="21">
        <f t="shared" ca="1" si="30"/>
        <v>159</v>
      </c>
      <c r="B411" s="3">
        <f t="shared" ca="1" si="31"/>
        <v>55</v>
      </c>
      <c r="C411" s="3">
        <f t="shared" ca="1" si="32"/>
        <v>27</v>
      </c>
      <c r="D411" s="3">
        <f t="shared" ca="1" si="33"/>
        <v>3027.52</v>
      </c>
      <c r="E411" s="22">
        <f t="shared" ca="1" si="34"/>
        <v>11382.50839001311</v>
      </c>
    </row>
    <row r="412" spans="1:5" x14ac:dyDescent="0.25">
      <c r="A412" s="21">
        <f t="shared" ca="1" si="30"/>
        <v>202</v>
      </c>
      <c r="B412" s="3">
        <f t="shared" ca="1" si="31"/>
        <v>44</v>
      </c>
      <c r="C412" s="3">
        <f t="shared" ca="1" si="32"/>
        <v>33</v>
      </c>
      <c r="D412" s="3">
        <f t="shared" ca="1" si="33"/>
        <v>1332.72</v>
      </c>
      <c r="E412" s="22">
        <f t="shared" ca="1" si="34"/>
        <v>4315.420431540324</v>
      </c>
    </row>
    <row r="413" spans="1:5" x14ac:dyDescent="0.25">
      <c r="A413" s="21">
        <f t="shared" ca="1" si="30"/>
        <v>290</v>
      </c>
      <c r="B413" s="3">
        <f t="shared" ca="1" si="31"/>
        <v>43</v>
      </c>
      <c r="C413" s="3">
        <f t="shared" ca="1" si="32"/>
        <v>31</v>
      </c>
      <c r="D413" s="3">
        <f t="shared" ca="1" si="33"/>
        <v>2288.8000000000002</v>
      </c>
      <c r="E413" s="22">
        <f t="shared" ca="1" si="34"/>
        <v>8302.1453874859599</v>
      </c>
    </row>
    <row r="414" spans="1:5" x14ac:dyDescent="0.25">
      <c r="A414" s="21">
        <f t="shared" ca="1" si="30"/>
        <v>237</v>
      </c>
      <c r="B414" s="3">
        <f t="shared" ca="1" si="31"/>
        <v>44</v>
      </c>
      <c r="C414" s="3">
        <f t="shared" ca="1" si="32"/>
        <v>26</v>
      </c>
      <c r="D414" s="3">
        <f t="shared" ca="1" si="33"/>
        <v>2886.16</v>
      </c>
      <c r="E414" s="22">
        <f t="shared" ca="1" si="34"/>
        <v>10793.056210517174</v>
      </c>
    </row>
    <row r="415" spans="1:5" x14ac:dyDescent="0.25">
      <c r="A415" s="21">
        <f t="shared" ca="1" si="30"/>
        <v>268</v>
      </c>
      <c r="B415" s="3">
        <f t="shared" ca="1" si="31"/>
        <v>43</v>
      </c>
      <c r="C415" s="3">
        <f t="shared" ca="1" si="32"/>
        <v>31</v>
      </c>
      <c r="D415" s="3">
        <f t="shared" ca="1" si="33"/>
        <v>2088.16</v>
      </c>
      <c r="E415" s="22">
        <f t="shared" ca="1" si="34"/>
        <v>7465.5035843304349</v>
      </c>
    </row>
    <row r="416" spans="1:5" x14ac:dyDescent="0.25">
      <c r="A416" s="21">
        <f t="shared" ca="1" si="30"/>
        <v>161</v>
      </c>
      <c r="B416" s="3">
        <f t="shared" ca="1" si="31"/>
        <v>42</v>
      </c>
      <c r="C416" s="3">
        <f t="shared" ca="1" si="32"/>
        <v>30</v>
      </c>
      <c r="D416" s="3">
        <f t="shared" ca="1" si="33"/>
        <v>1112.3200000000002</v>
      </c>
      <c r="E416" s="22">
        <f t="shared" ca="1" si="34"/>
        <v>3396.38208716494</v>
      </c>
    </row>
    <row r="417" spans="1:5" x14ac:dyDescent="0.25">
      <c r="A417" s="21">
        <f t="shared" ca="1" si="30"/>
        <v>237</v>
      </c>
      <c r="B417" s="3">
        <f t="shared" ca="1" si="31"/>
        <v>54</v>
      </c>
      <c r="C417" s="3">
        <f t="shared" ca="1" si="32"/>
        <v>34</v>
      </c>
      <c r="D417" s="3">
        <f t="shared" ca="1" si="33"/>
        <v>3246.4</v>
      </c>
      <c r="E417" s="22">
        <f t="shared" ca="1" si="34"/>
        <v>12295.208538910045</v>
      </c>
    </row>
    <row r="418" spans="1:5" x14ac:dyDescent="0.25">
      <c r="A418" s="21">
        <f t="shared" ca="1" si="30"/>
        <v>279</v>
      </c>
      <c r="B418" s="3">
        <f t="shared" ca="1" si="31"/>
        <v>41</v>
      </c>
      <c r="C418" s="3">
        <f t="shared" ca="1" si="32"/>
        <v>33</v>
      </c>
      <c r="D418" s="3">
        <f t="shared" ca="1" si="33"/>
        <v>1340.32</v>
      </c>
      <c r="E418" s="22">
        <f t="shared" ca="1" si="34"/>
        <v>4347.1114089325783</v>
      </c>
    </row>
    <row r="419" spans="1:5" x14ac:dyDescent="0.25">
      <c r="A419" s="21">
        <f t="shared" ca="1" si="30"/>
        <v>253</v>
      </c>
      <c r="B419" s="3">
        <f t="shared" ca="1" si="31"/>
        <v>54</v>
      </c>
      <c r="C419" s="3">
        <f t="shared" ca="1" si="32"/>
        <v>28</v>
      </c>
      <c r="D419" s="3">
        <f t="shared" ca="1" si="33"/>
        <v>4643.28</v>
      </c>
      <c r="E419" s="22">
        <f t="shared" ca="1" si="34"/>
        <v>18120.010183606446</v>
      </c>
    </row>
    <row r="420" spans="1:5" x14ac:dyDescent="0.25">
      <c r="A420" s="21">
        <f t="shared" ca="1" si="30"/>
        <v>151</v>
      </c>
      <c r="B420" s="3">
        <f t="shared" ca="1" si="31"/>
        <v>45</v>
      </c>
      <c r="C420" s="3">
        <f t="shared" ca="1" si="32"/>
        <v>30</v>
      </c>
      <c r="D420" s="3">
        <f t="shared" ca="1" si="33"/>
        <v>1365.4</v>
      </c>
      <c r="E420" s="22">
        <f t="shared" ca="1" si="34"/>
        <v>4451.6916343270195</v>
      </c>
    </row>
    <row r="421" spans="1:5" x14ac:dyDescent="0.25">
      <c r="A421" s="21">
        <f t="shared" ca="1" si="30"/>
        <v>280</v>
      </c>
      <c r="B421" s="3">
        <f t="shared" ca="1" si="31"/>
        <v>48</v>
      </c>
      <c r="C421" s="3">
        <f t="shared" ca="1" si="32"/>
        <v>30</v>
      </c>
      <c r="D421" s="3">
        <f t="shared" ca="1" si="33"/>
        <v>3474.4</v>
      </c>
      <c r="E421" s="22">
        <f t="shared" ca="1" si="34"/>
        <v>13245.937860677685</v>
      </c>
    </row>
    <row r="422" spans="1:5" x14ac:dyDescent="0.25">
      <c r="A422" s="21">
        <f t="shared" ca="1" si="30"/>
        <v>169</v>
      </c>
      <c r="B422" s="3">
        <f t="shared" ca="1" si="31"/>
        <v>49</v>
      </c>
      <c r="C422" s="3">
        <f t="shared" ca="1" si="32"/>
        <v>29</v>
      </c>
      <c r="D422" s="3">
        <f t="shared" ca="1" si="33"/>
        <v>2212.8000000000002</v>
      </c>
      <c r="E422" s="22">
        <f t="shared" ca="1" si="34"/>
        <v>7985.2356135634127</v>
      </c>
    </row>
    <row r="423" spans="1:5" x14ac:dyDescent="0.25">
      <c r="A423" s="21">
        <f t="shared" ca="1" si="30"/>
        <v>193</v>
      </c>
      <c r="B423" s="3">
        <f t="shared" ca="1" si="31"/>
        <v>47</v>
      </c>
      <c r="C423" s="3">
        <f t="shared" ca="1" si="32"/>
        <v>32</v>
      </c>
      <c r="D423" s="3">
        <f t="shared" ca="1" si="33"/>
        <v>1844.2</v>
      </c>
      <c r="E423" s="22">
        <f t="shared" ca="1" si="34"/>
        <v>6448.2232100390611</v>
      </c>
    </row>
    <row r="424" spans="1:5" x14ac:dyDescent="0.25">
      <c r="A424" s="21">
        <f t="shared" ca="1" si="30"/>
        <v>163</v>
      </c>
      <c r="B424" s="3">
        <f t="shared" ca="1" si="31"/>
        <v>48</v>
      </c>
      <c r="C424" s="3">
        <f t="shared" ca="1" si="32"/>
        <v>28</v>
      </c>
      <c r="D424" s="3">
        <f t="shared" ca="1" si="33"/>
        <v>2121.6000000000004</v>
      </c>
      <c r="E424" s="22">
        <f t="shared" ca="1" si="34"/>
        <v>7604.9438848563577</v>
      </c>
    </row>
    <row r="425" spans="1:5" x14ac:dyDescent="0.25">
      <c r="A425" s="21">
        <f t="shared" ca="1" si="30"/>
        <v>250</v>
      </c>
      <c r="B425" s="3">
        <f t="shared" ca="1" si="31"/>
        <v>47</v>
      </c>
      <c r="C425" s="3">
        <f t="shared" ca="1" si="32"/>
        <v>29</v>
      </c>
      <c r="D425" s="3">
        <f t="shared" ca="1" si="33"/>
        <v>3064</v>
      </c>
      <c r="E425" s="22">
        <f t="shared" ca="1" si="34"/>
        <v>11534.625081495933</v>
      </c>
    </row>
    <row r="426" spans="1:5" x14ac:dyDescent="0.25">
      <c r="A426" s="21">
        <f t="shared" ca="1" si="30"/>
        <v>236</v>
      </c>
      <c r="B426" s="3">
        <f t="shared" ca="1" si="31"/>
        <v>45</v>
      </c>
      <c r="C426" s="3">
        <f t="shared" ca="1" si="32"/>
        <v>28</v>
      </c>
      <c r="D426" s="3">
        <f t="shared" ca="1" si="33"/>
        <v>2693.12</v>
      </c>
      <c r="E426" s="22">
        <f t="shared" ca="1" si="34"/>
        <v>9988.105384753906</v>
      </c>
    </row>
    <row r="427" spans="1:5" x14ac:dyDescent="0.25">
      <c r="A427" s="21">
        <f t="shared" ca="1" si="30"/>
        <v>249</v>
      </c>
      <c r="B427" s="3">
        <f t="shared" ca="1" si="31"/>
        <v>48</v>
      </c>
      <c r="C427" s="3">
        <f t="shared" ca="1" si="32"/>
        <v>32</v>
      </c>
      <c r="D427" s="3">
        <f t="shared" ca="1" si="33"/>
        <v>2671.84</v>
      </c>
      <c r="E427" s="22">
        <f t="shared" ca="1" si="34"/>
        <v>9899.370648055592</v>
      </c>
    </row>
    <row r="428" spans="1:5" x14ac:dyDescent="0.25">
      <c r="A428" s="21">
        <f t="shared" ca="1" si="30"/>
        <v>190</v>
      </c>
      <c r="B428" s="3">
        <f t="shared" ca="1" si="31"/>
        <v>43</v>
      </c>
      <c r="C428" s="3">
        <f t="shared" ca="1" si="32"/>
        <v>32</v>
      </c>
      <c r="D428" s="3">
        <f t="shared" ca="1" si="33"/>
        <v>1232.4000000000001</v>
      </c>
      <c r="E428" s="22">
        <f t="shared" ca="1" si="34"/>
        <v>3897.0995299625624</v>
      </c>
    </row>
    <row r="429" spans="1:5" x14ac:dyDescent="0.25">
      <c r="A429" s="21">
        <f t="shared" ca="1" si="30"/>
        <v>256</v>
      </c>
      <c r="B429" s="3">
        <f t="shared" ca="1" si="31"/>
        <v>53</v>
      </c>
      <c r="C429" s="3">
        <f t="shared" ca="1" si="32"/>
        <v>28</v>
      </c>
      <c r="D429" s="3">
        <f t="shared" ca="1" si="33"/>
        <v>4508</v>
      </c>
      <c r="E429" s="22">
        <f t="shared" ca="1" si="34"/>
        <v>17555.910786024317</v>
      </c>
    </row>
    <row r="430" spans="1:5" x14ac:dyDescent="0.25">
      <c r="A430" s="21">
        <f t="shared" ca="1" si="30"/>
        <v>208</v>
      </c>
      <c r="B430" s="3">
        <f t="shared" ca="1" si="31"/>
        <v>44</v>
      </c>
      <c r="C430" s="3">
        <f t="shared" ca="1" si="32"/>
        <v>28</v>
      </c>
      <c r="D430" s="3">
        <f t="shared" ca="1" si="33"/>
        <v>2173.2800000000002</v>
      </c>
      <c r="E430" s="22">
        <f t="shared" ca="1" si="34"/>
        <v>7820.4425311236882</v>
      </c>
    </row>
    <row r="431" spans="1:5" x14ac:dyDescent="0.25">
      <c r="A431" s="21">
        <f t="shared" ca="1" si="30"/>
        <v>170</v>
      </c>
      <c r="B431" s="3">
        <f t="shared" ca="1" si="31"/>
        <v>51</v>
      </c>
      <c r="C431" s="3">
        <f t="shared" ca="1" si="32"/>
        <v>27</v>
      </c>
      <c r="D431" s="3">
        <f t="shared" ca="1" si="33"/>
        <v>2744.8</v>
      </c>
      <c r="E431" s="22">
        <f t="shared" ca="1" si="34"/>
        <v>10203.604031021239</v>
      </c>
    </row>
    <row r="432" spans="1:5" x14ac:dyDescent="0.25">
      <c r="A432" s="21">
        <f t="shared" ca="1" si="30"/>
        <v>234</v>
      </c>
      <c r="B432" s="3">
        <f t="shared" ca="1" si="31"/>
        <v>51</v>
      </c>
      <c r="C432" s="3">
        <f t="shared" ca="1" si="32"/>
        <v>35</v>
      </c>
      <c r="D432" s="3">
        <f t="shared" ca="1" si="33"/>
        <v>2489.44</v>
      </c>
      <c r="E432" s="22">
        <f t="shared" ca="1" si="34"/>
        <v>9138.7871906414803</v>
      </c>
    </row>
    <row r="433" spans="1:5" x14ac:dyDescent="0.25">
      <c r="A433" s="21">
        <f t="shared" ca="1" si="30"/>
        <v>273</v>
      </c>
      <c r="B433" s="3">
        <f t="shared" ca="1" si="31"/>
        <v>53</v>
      </c>
      <c r="C433" s="3">
        <f t="shared" ca="1" si="32"/>
        <v>31</v>
      </c>
      <c r="D433" s="3">
        <f t="shared" ca="1" si="33"/>
        <v>4208.5600000000004</v>
      </c>
      <c r="E433" s="22">
        <f t="shared" ca="1" si="34"/>
        <v>16307.286276769484</v>
      </c>
    </row>
    <row r="434" spans="1:5" x14ac:dyDescent="0.25">
      <c r="A434" s="21">
        <f t="shared" ca="1" si="30"/>
        <v>229</v>
      </c>
      <c r="B434" s="3">
        <f t="shared" ca="1" si="31"/>
        <v>41</v>
      </c>
      <c r="C434" s="3">
        <f t="shared" ca="1" si="32"/>
        <v>32</v>
      </c>
      <c r="D434" s="3">
        <f t="shared" ca="1" si="33"/>
        <v>1210.3599999999999</v>
      </c>
      <c r="E434" s="22">
        <f t="shared" ca="1" si="34"/>
        <v>3805.1956955250239</v>
      </c>
    </row>
    <row r="435" spans="1:5" x14ac:dyDescent="0.25">
      <c r="A435" s="21">
        <f t="shared" ca="1" si="30"/>
        <v>222</v>
      </c>
      <c r="B435" s="3">
        <f t="shared" ca="1" si="31"/>
        <v>52</v>
      </c>
      <c r="C435" s="3">
        <f t="shared" ca="1" si="32"/>
        <v>26</v>
      </c>
      <c r="D435" s="3">
        <f t="shared" ca="1" si="33"/>
        <v>4030.7200000000003</v>
      </c>
      <c r="E435" s="22">
        <f t="shared" ca="1" si="34"/>
        <v>15565.717405790725</v>
      </c>
    </row>
    <row r="436" spans="1:5" x14ac:dyDescent="0.25">
      <c r="A436" s="21">
        <f t="shared" ca="1" si="30"/>
        <v>294</v>
      </c>
      <c r="B436" s="3">
        <f t="shared" ca="1" si="31"/>
        <v>43</v>
      </c>
      <c r="C436" s="3">
        <f t="shared" ca="1" si="32"/>
        <v>31</v>
      </c>
      <c r="D436" s="3">
        <f t="shared" ca="1" si="33"/>
        <v>2325.2800000000002</v>
      </c>
      <c r="E436" s="22">
        <f t="shared" ca="1" si="34"/>
        <v>8454.2620789687826</v>
      </c>
    </row>
    <row r="437" spans="1:5" x14ac:dyDescent="0.25">
      <c r="A437" s="21">
        <f t="shared" ca="1" si="30"/>
        <v>178</v>
      </c>
      <c r="B437" s="3">
        <f t="shared" ca="1" si="31"/>
        <v>50</v>
      </c>
      <c r="C437" s="3">
        <f t="shared" ca="1" si="32"/>
        <v>34</v>
      </c>
      <c r="D437" s="3">
        <f t="shared" ca="1" si="33"/>
        <v>1808.48</v>
      </c>
      <c r="E437" s="22">
        <f t="shared" ca="1" si="34"/>
        <v>6299.2756162954647</v>
      </c>
    </row>
    <row r="438" spans="1:5" x14ac:dyDescent="0.25">
      <c r="A438" s="21">
        <f t="shared" ca="1" si="30"/>
        <v>181</v>
      </c>
      <c r="B438" s="3">
        <f t="shared" ca="1" si="31"/>
        <v>41</v>
      </c>
      <c r="C438" s="3">
        <f t="shared" ca="1" si="32"/>
        <v>35</v>
      </c>
      <c r="D438" s="3">
        <f t="shared" ca="1" si="33"/>
        <v>469.36</v>
      </c>
      <c r="E438" s="22">
        <f t="shared" ca="1" si="34"/>
        <v>715.32539978019588</v>
      </c>
    </row>
    <row r="439" spans="1:5" x14ac:dyDescent="0.25">
      <c r="A439" s="21">
        <f t="shared" ca="1" si="30"/>
        <v>190</v>
      </c>
      <c r="B439" s="3">
        <f t="shared" ca="1" si="31"/>
        <v>53</v>
      </c>
      <c r="C439" s="3">
        <f t="shared" ca="1" si="32"/>
        <v>35</v>
      </c>
      <c r="D439" s="3">
        <f t="shared" ca="1" si="33"/>
        <v>2243.1999999999998</v>
      </c>
      <c r="E439" s="22">
        <f t="shared" ca="1" si="34"/>
        <v>8111.9995231324301</v>
      </c>
    </row>
    <row r="440" spans="1:5" x14ac:dyDescent="0.25">
      <c r="A440" s="21">
        <f t="shared" ca="1" si="30"/>
        <v>225</v>
      </c>
      <c r="B440" s="3">
        <f t="shared" ca="1" si="31"/>
        <v>43</v>
      </c>
      <c r="C440" s="3">
        <f t="shared" ca="1" si="32"/>
        <v>34</v>
      </c>
      <c r="D440" s="3">
        <f t="shared" ca="1" si="33"/>
        <v>1183</v>
      </c>
      <c r="E440" s="22">
        <f t="shared" ca="1" si="34"/>
        <v>3691.1081769129073</v>
      </c>
    </row>
    <row r="441" spans="1:5" x14ac:dyDescent="0.25">
      <c r="A441" s="21">
        <f t="shared" ca="1" si="30"/>
        <v>213</v>
      </c>
      <c r="B441" s="3">
        <f t="shared" ca="1" si="31"/>
        <v>49</v>
      </c>
      <c r="C441" s="3">
        <f t="shared" ca="1" si="32"/>
        <v>29</v>
      </c>
      <c r="D441" s="3">
        <f t="shared" ca="1" si="33"/>
        <v>2881.6</v>
      </c>
      <c r="E441" s="22">
        <f t="shared" ca="1" si="34"/>
        <v>10774.041624081821</v>
      </c>
    </row>
    <row r="442" spans="1:5" x14ac:dyDescent="0.25">
      <c r="A442" s="21">
        <f t="shared" ca="1" si="30"/>
        <v>166</v>
      </c>
      <c r="B442" s="3">
        <f t="shared" ca="1" si="31"/>
        <v>46</v>
      </c>
      <c r="C442" s="3">
        <f t="shared" ca="1" si="32"/>
        <v>27</v>
      </c>
      <c r="D442" s="3">
        <f t="shared" ca="1" si="33"/>
        <v>2041.04</v>
      </c>
      <c r="E442" s="22">
        <f t="shared" ca="1" si="34"/>
        <v>7269.019524498457</v>
      </c>
    </row>
    <row r="443" spans="1:5" x14ac:dyDescent="0.25">
      <c r="A443" s="21">
        <f t="shared" ca="1" si="30"/>
        <v>236</v>
      </c>
      <c r="B443" s="3">
        <f t="shared" ca="1" si="31"/>
        <v>40</v>
      </c>
      <c r="C443" s="3">
        <f t="shared" ca="1" si="32"/>
        <v>25</v>
      </c>
      <c r="D443" s="3">
        <f t="shared" ca="1" si="33"/>
        <v>2334.4</v>
      </c>
      <c r="E443" s="22">
        <f t="shared" ca="1" si="34"/>
        <v>8492.291251839486</v>
      </c>
    </row>
    <row r="444" spans="1:5" x14ac:dyDescent="0.25">
      <c r="A444" s="21">
        <f t="shared" ca="1" si="30"/>
        <v>227</v>
      </c>
      <c r="B444" s="3">
        <f t="shared" ca="1" si="31"/>
        <v>48</v>
      </c>
      <c r="C444" s="3">
        <f t="shared" ca="1" si="32"/>
        <v>31</v>
      </c>
      <c r="D444" s="3">
        <f t="shared" ca="1" si="33"/>
        <v>2576.84</v>
      </c>
      <c r="E444" s="22">
        <f t="shared" ca="1" si="34"/>
        <v>9503.2334306524117</v>
      </c>
    </row>
    <row r="445" spans="1:5" x14ac:dyDescent="0.25">
      <c r="A445" s="21">
        <f t="shared" ca="1" si="30"/>
        <v>204</v>
      </c>
      <c r="B445" s="3">
        <f t="shared" ca="1" si="31"/>
        <v>46</v>
      </c>
      <c r="C445" s="3">
        <f t="shared" ca="1" si="32"/>
        <v>29</v>
      </c>
      <c r="D445" s="3">
        <f t="shared" ca="1" si="33"/>
        <v>2279.6799999999998</v>
      </c>
      <c r="E445" s="22">
        <f t="shared" ca="1" si="34"/>
        <v>8264.1162146152528</v>
      </c>
    </row>
    <row r="446" spans="1:5" x14ac:dyDescent="0.25">
      <c r="A446" s="21">
        <f t="shared" ca="1" si="30"/>
        <v>234</v>
      </c>
      <c r="B446" s="3">
        <f t="shared" ca="1" si="31"/>
        <v>50</v>
      </c>
      <c r="C446" s="3">
        <f t="shared" ca="1" si="32"/>
        <v>25</v>
      </c>
      <c r="D446" s="3">
        <f t="shared" ca="1" si="33"/>
        <v>4090</v>
      </c>
      <c r="E446" s="22">
        <f t="shared" ca="1" si="34"/>
        <v>15812.907029450311</v>
      </c>
    </row>
    <row r="447" spans="1:5" x14ac:dyDescent="0.25">
      <c r="A447" s="21">
        <f t="shared" ca="1" si="30"/>
        <v>246</v>
      </c>
      <c r="B447" s="3">
        <f t="shared" ca="1" si="31"/>
        <v>45</v>
      </c>
      <c r="C447" s="3">
        <f t="shared" ca="1" si="32"/>
        <v>28</v>
      </c>
      <c r="D447" s="3">
        <f t="shared" ca="1" si="33"/>
        <v>2822.32</v>
      </c>
      <c r="E447" s="22">
        <f t="shared" ca="1" si="34"/>
        <v>10526.852000422236</v>
      </c>
    </row>
    <row r="448" spans="1:5" x14ac:dyDescent="0.25">
      <c r="A448" s="21">
        <f t="shared" ca="1" si="30"/>
        <v>272</v>
      </c>
      <c r="B448" s="3">
        <f t="shared" ca="1" si="31"/>
        <v>43</v>
      </c>
      <c r="C448" s="3">
        <f t="shared" ca="1" si="32"/>
        <v>25</v>
      </c>
      <c r="D448" s="3">
        <f t="shared" ca="1" si="33"/>
        <v>3364.96</v>
      </c>
      <c r="E448" s="22">
        <f t="shared" ca="1" si="34"/>
        <v>12789.587786229216</v>
      </c>
    </row>
    <row r="449" spans="1:5" x14ac:dyDescent="0.25">
      <c r="A449" s="21">
        <f t="shared" ca="1" si="30"/>
        <v>296</v>
      </c>
      <c r="B449" s="3">
        <f t="shared" ca="1" si="31"/>
        <v>55</v>
      </c>
      <c r="C449" s="3">
        <f t="shared" ca="1" si="32"/>
        <v>35</v>
      </c>
      <c r="D449" s="3">
        <f t="shared" ca="1" si="33"/>
        <v>4143.2000000000007</v>
      </c>
      <c r="E449" s="22">
        <f t="shared" ca="1" si="34"/>
        <v>16034.743871196097</v>
      </c>
    </row>
    <row r="450" spans="1:5" x14ac:dyDescent="0.25">
      <c r="A450" s="21">
        <f t="shared" ref="A450:A501" ca="1" si="35">RANDBETWEEN(150,300)</f>
        <v>234</v>
      </c>
      <c r="B450" s="3">
        <f t="shared" ref="B450:B501" ca="1" si="36">RANDBETWEEN(40,55)</f>
        <v>55</v>
      </c>
      <c r="C450" s="3">
        <f t="shared" ref="C450:C501" ca="1" si="37">RANDBETWEEN(25,35)</f>
        <v>33</v>
      </c>
      <c r="D450" s="3">
        <f t="shared" ca="1" si="33"/>
        <v>3556.48</v>
      </c>
      <c r="E450" s="22">
        <f t="shared" ca="1" si="34"/>
        <v>13588.200416514033</v>
      </c>
    </row>
    <row r="451" spans="1:5" x14ac:dyDescent="0.25">
      <c r="A451" s="21">
        <f t="shared" ca="1" si="35"/>
        <v>215</v>
      </c>
      <c r="B451" s="3">
        <f t="shared" ca="1" si="36"/>
        <v>47</v>
      </c>
      <c r="C451" s="3">
        <f t="shared" ca="1" si="37"/>
        <v>25</v>
      </c>
      <c r="D451" s="3">
        <f t="shared" ref="D451:D501" ca="1" si="38">(A451*(B451-C451)-$N$1-$N$2)*(1-$N$3)+$N$2</f>
        <v>3238.8</v>
      </c>
      <c r="E451" s="22">
        <f t="shared" ref="E451:E501" ca="1" si="39">PV($N$4,$N$5,-D451,$N$6,1)</f>
        <v>12263.51756151779</v>
      </c>
    </row>
    <row r="452" spans="1:5" x14ac:dyDescent="0.25">
      <c r="A452" s="21">
        <f t="shared" ca="1" si="35"/>
        <v>183</v>
      </c>
      <c r="B452" s="3">
        <f t="shared" ca="1" si="36"/>
        <v>42</v>
      </c>
      <c r="C452" s="3">
        <f t="shared" ca="1" si="37"/>
        <v>31</v>
      </c>
      <c r="D452" s="3">
        <f t="shared" ca="1" si="38"/>
        <v>1173.8800000000001</v>
      </c>
      <c r="E452" s="22">
        <f t="shared" ca="1" si="39"/>
        <v>3653.0790040422021</v>
      </c>
    </row>
    <row r="453" spans="1:5" x14ac:dyDescent="0.25">
      <c r="A453" s="21">
        <f t="shared" ca="1" si="35"/>
        <v>198</v>
      </c>
      <c r="B453" s="3">
        <f t="shared" ca="1" si="36"/>
        <v>52</v>
      </c>
      <c r="C453" s="3">
        <f t="shared" ca="1" si="37"/>
        <v>26</v>
      </c>
      <c r="D453" s="3">
        <f t="shared" ca="1" si="38"/>
        <v>3556.48</v>
      </c>
      <c r="E453" s="22">
        <f t="shared" ca="1" si="39"/>
        <v>13588.200416514033</v>
      </c>
    </row>
    <row r="454" spans="1:5" x14ac:dyDescent="0.25">
      <c r="A454" s="21">
        <f t="shared" ca="1" si="35"/>
        <v>204</v>
      </c>
      <c r="B454" s="3">
        <f t="shared" ca="1" si="36"/>
        <v>52</v>
      </c>
      <c r="C454" s="3">
        <f t="shared" ca="1" si="37"/>
        <v>31</v>
      </c>
      <c r="D454" s="3">
        <f t="shared" ca="1" si="38"/>
        <v>2899.84</v>
      </c>
      <c r="E454" s="22">
        <f t="shared" ca="1" si="39"/>
        <v>10850.099969823232</v>
      </c>
    </row>
    <row r="455" spans="1:5" x14ac:dyDescent="0.25">
      <c r="A455" s="21">
        <f t="shared" ca="1" si="35"/>
        <v>188</v>
      </c>
      <c r="B455" s="3">
        <f t="shared" ca="1" si="36"/>
        <v>40</v>
      </c>
      <c r="C455" s="3">
        <f t="shared" ca="1" si="37"/>
        <v>26</v>
      </c>
      <c r="D455" s="3">
        <f t="shared" ca="1" si="38"/>
        <v>1644.32</v>
      </c>
      <c r="E455" s="22">
        <f t="shared" ca="1" si="39"/>
        <v>5614.7505046227634</v>
      </c>
    </row>
    <row r="456" spans="1:5" x14ac:dyDescent="0.25">
      <c r="A456" s="21">
        <f t="shared" ca="1" si="35"/>
        <v>292</v>
      </c>
      <c r="B456" s="3">
        <f t="shared" ca="1" si="36"/>
        <v>49</v>
      </c>
      <c r="C456" s="3">
        <f t="shared" ca="1" si="37"/>
        <v>30</v>
      </c>
      <c r="D456" s="3">
        <f t="shared" ca="1" si="38"/>
        <v>3860.48</v>
      </c>
      <c r="E456" s="22">
        <f t="shared" ca="1" si="39"/>
        <v>14855.83951220422</v>
      </c>
    </row>
    <row r="457" spans="1:5" x14ac:dyDescent="0.25">
      <c r="A457" s="21">
        <f t="shared" ca="1" si="35"/>
        <v>291</v>
      </c>
      <c r="B457" s="3">
        <f t="shared" ca="1" si="36"/>
        <v>54</v>
      </c>
      <c r="C457" s="3">
        <f t="shared" ca="1" si="37"/>
        <v>26</v>
      </c>
      <c r="D457" s="3">
        <f t="shared" ca="1" si="38"/>
        <v>5836.4800000000005</v>
      </c>
      <c r="E457" s="22">
        <f t="shared" ca="1" si="39"/>
        <v>23095.493634190432</v>
      </c>
    </row>
    <row r="458" spans="1:5" x14ac:dyDescent="0.25">
      <c r="A458" s="21">
        <f t="shared" ca="1" si="35"/>
        <v>209</v>
      </c>
      <c r="B458" s="3">
        <f t="shared" ca="1" si="36"/>
        <v>48</v>
      </c>
      <c r="C458" s="3">
        <f t="shared" ca="1" si="37"/>
        <v>31</v>
      </c>
      <c r="D458" s="3">
        <f t="shared" ca="1" si="38"/>
        <v>2344.2800000000002</v>
      </c>
      <c r="E458" s="22">
        <f t="shared" ca="1" si="39"/>
        <v>8533.4895224494176</v>
      </c>
    </row>
    <row r="459" spans="1:5" x14ac:dyDescent="0.25">
      <c r="A459" s="21">
        <f t="shared" ca="1" si="35"/>
        <v>193</v>
      </c>
      <c r="B459" s="3">
        <f t="shared" ca="1" si="36"/>
        <v>48</v>
      </c>
      <c r="C459" s="3">
        <f t="shared" ca="1" si="37"/>
        <v>27</v>
      </c>
      <c r="D459" s="3">
        <f t="shared" ca="1" si="38"/>
        <v>2724.28</v>
      </c>
      <c r="E459" s="22">
        <f t="shared" ca="1" si="39"/>
        <v>10118.038392062152</v>
      </c>
    </row>
    <row r="460" spans="1:5" x14ac:dyDescent="0.25">
      <c r="A460" s="21">
        <f t="shared" ca="1" si="35"/>
        <v>256</v>
      </c>
      <c r="B460" s="3">
        <f t="shared" ca="1" si="36"/>
        <v>48</v>
      </c>
      <c r="C460" s="3">
        <f t="shared" ca="1" si="37"/>
        <v>25</v>
      </c>
      <c r="D460" s="3">
        <f t="shared" ca="1" si="38"/>
        <v>4118.88</v>
      </c>
      <c r="E460" s="22">
        <f t="shared" ca="1" si="39"/>
        <v>15933.332743540877</v>
      </c>
    </row>
    <row r="461" spans="1:5" x14ac:dyDescent="0.25">
      <c r="A461" s="21">
        <f t="shared" ca="1" si="35"/>
        <v>159</v>
      </c>
      <c r="B461" s="3">
        <f t="shared" ca="1" si="36"/>
        <v>45</v>
      </c>
      <c r="C461" s="3">
        <f t="shared" ca="1" si="37"/>
        <v>28</v>
      </c>
      <c r="D461" s="3">
        <f t="shared" ca="1" si="38"/>
        <v>1698.28</v>
      </c>
      <c r="E461" s="22">
        <f t="shared" ca="1" si="39"/>
        <v>5839.7564441077729</v>
      </c>
    </row>
    <row r="462" spans="1:5" x14ac:dyDescent="0.25">
      <c r="A462" s="21">
        <f t="shared" ca="1" si="35"/>
        <v>291</v>
      </c>
      <c r="B462" s="3">
        <f t="shared" ca="1" si="36"/>
        <v>54</v>
      </c>
      <c r="C462" s="3">
        <f t="shared" ca="1" si="37"/>
        <v>28</v>
      </c>
      <c r="D462" s="3">
        <f t="shared" ca="1" si="38"/>
        <v>5394.16</v>
      </c>
      <c r="E462" s="22">
        <f t="shared" ca="1" si="39"/>
        <v>21251.078749961205</v>
      </c>
    </row>
    <row r="463" spans="1:5" x14ac:dyDescent="0.25">
      <c r="A463" s="21">
        <f t="shared" ca="1" si="35"/>
        <v>183</v>
      </c>
      <c r="B463" s="3">
        <f t="shared" ca="1" si="36"/>
        <v>41</v>
      </c>
      <c r="C463" s="3">
        <f t="shared" ca="1" si="37"/>
        <v>32</v>
      </c>
      <c r="D463" s="3">
        <f t="shared" ca="1" si="38"/>
        <v>895.72</v>
      </c>
      <c r="E463" s="22">
        <f t="shared" ca="1" si="39"/>
        <v>2493.1892314856814</v>
      </c>
    </row>
    <row r="464" spans="1:5" x14ac:dyDescent="0.25">
      <c r="A464" s="21">
        <f t="shared" ca="1" si="35"/>
        <v>253</v>
      </c>
      <c r="B464" s="3">
        <f t="shared" ca="1" si="36"/>
        <v>47</v>
      </c>
      <c r="C464" s="3">
        <f t="shared" ca="1" si="37"/>
        <v>25</v>
      </c>
      <c r="D464" s="3">
        <f t="shared" ca="1" si="38"/>
        <v>3874.16</v>
      </c>
      <c r="E464" s="22">
        <f t="shared" ca="1" si="39"/>
        <v>14912.883271510278</v>
      </c>
    </row>
    <row r="465" spans="1:5" x14ac:dyDescent="0.25">
      <c r="A465" s="21">
        <f t="shared" ca="1" si="35"/>
        <v>194</v>
      </c>
      <c r="B465" s="3">
        <f t="shared" ca="1" si="36"/>
        <v>40</v>
      </c>
      <c r="C465" s="3">
        <f t="shared" ca="1" si="37"/>
        <v>28</v>
      </c>
      <c r="D465" s="3">
        <f t="shared" ca="1" si="38"/>
        <v>1413.28</v>
      </c>
      <c r="E465" s="22">
        <f t="shared" ca="1" si="39"/>
        <v>4651.3447918982229</v>
      </c>
    </row>
    <row r="466" spans="1:5" x14ac:dyDescent="0.25">
      <c r="A466" s="21">
        <f t="shared" ca="1" si="35"/>
        <v>211</v>
      </c>
      <c r="B466" s="3">
        <f t="shared" ca="1" si="36"/>
        <v>48</v>
      </c>
      <c r="C466" s="3">
        <f t="shared" ca="1" si="37"/>
        <v>33</v>
      </c>
      <c r="D466" s="3">
        <f t="shared" ca="1" si="38"/>
        <v>2049.4</v>
      </c>
      <c r="E466" s="22">
        <f t="shared" ca="1" si="39"/>
        <v>7303.8795996299368</v>
      </c>
    </row>
    <row r="467" spans="1:5" x14ac:dyDescent="0.25">
      <c r="A467" s="21">
        <f t="shared" ca="1" si="35"/>
        <v>185</v>
      </c>
      <c r="B467" s="3">
        <f t="shared" ca="1" si="36"/>
        <v>44</v>
      </c>
      <c r="C467" s="3">
        <f t="shared" ca="1" si="37"/>
        <v>31</v>
      </c>
      <c r="D467" s="3">
        <f t="shared" ca="1" si="38"/>
        <v>1471.8</v>
      </c>
      <c r="E467" s="22">
        <f t="shared" ca="1" si="39"/>
        <v>4895.3653178185832</v>
      </c>
    </row>
    <row r="468" spans="1:5" x14ac:dyDescent="0.25">
      <c r="A468" s="21">
        <f t="shared" ca="1" si="35"/>
        <v>275</v>
      </c>
      <c r="B468" s="3">
        <f t="shared" ca="1" si="36"/>
        <v>42</v>
      </c>
      <c r="C468" s="3">
        <f t="shared" ca="1" si="37"/>
        <v>27</v>
      </c>
      <c r="D468" s="3">
        <f t="shared" ca="1" si="38"/>
        <v>2779</v>
      </c>
      <c r="E468" s="22">
        <f t="shared" ca="1" si="39"/>
        <v>10346.213429286385</v>
      </c>
    </row>
    <row r="469" spans="1:5" x14ac:dyDescent="0.25">
      <c r="A469" s="21">
        <f t="shared" ca="1" si="35"/>
        <v>278</v>
      </c>
      <c r="B469" s="3">
        <f t="shared" ca="1" si="36"/>
        <v>55</v>
      </c>
      <c r="C469" s="3">
        <f t="shared" ca="1" si="37"/>
        <v>28</v>
      </c>
      <c r="D469" s="3">
        <f t="shared" ca="1" si="38"/>
        <v>5348.56</v>
      </c>
      <c r="E469" s="22">
        <f t="shared" ca="1" si="39"/>
        <v>21060.932885607683</v>
      </c>
    </row>
    <row r="470" spans="1:5" x14ac:dyDescent="0.25">
      <c r="A470" s="21">
        <f t="shared" ca="1" si="35"/>
        <v>231</v>
      </c>
      <c r="B470" s="3">
        <f t="shared" ca="1" si="36"/>
        <v>41</v>
      </c>
      <c r="C470" s="3">
        <f t="shared" ca="1" si="37"/>
        <v>27</v>
      </c>
      <c r="D470" s="3">
        <f t="shared" ca="1" si="38"/>
        <v>2101.84</v>
      </c>
      <c r="E470" s="22">
        <f t="shared" ca="1" si="39"/>
        <v>7522.5473436364946</v>
      </c>
    </row>
    <row r="471" spans="1:5" x14ac:dyDescent="0.25">
      <c r="A471" s="21">
        <f t="shared" ca="1" si="35"/>
        <v>206</v>
      </c>
      <c r="B471" s="3">
        <f t="shared" ca="1" si="36"/>
        <v>55</v>
      </c>
      <c r="C471" s="3">
        <f t="shared" ca="1" si="37"/>
        <v>34</v>
      </c>
      <c r="D471" s="3">
        <f t="shared" ca="1" si="38"/>
        <v>2931.76</v>
      </c>
      <c r="E471" s="22">
        <f t="shared" ca="1" si="39"/>
        <v>10983.202074870704</v>
      </c>
    </row>
    <row r="472" spans="1:5" x14ac:dyDescent="0.25">
      <c r="A472" s="21">
        <f t="shared" ca="1" si="35"/>
        <v>178</v>
      </c>
      <c r="B472" s="3">
        <f t="shared" ca="1" si="36"/>
        <v>53</v>
      </c>
      <c r="C472" s="3">
        <f t="shared" ca="1" si="37"/>
        <v>28</v>
      </c>
      <c r="D472" s="3">
        <f t="shared" ca="1" si="38"/>
        <v>3026</v>
      </c>
      <c r="E472" s="22">
        <f t="shared" ca="1" si="39"/>
        <v>11376.170194534659</v>
      </c>
    </row>
    <row r="473" spans="1:5" x14ac:dyDescent="0.25">
      <c r="A473" s="21">
        <f t="shared" ca="1" si="35"/>
        <v>207</v>
      </c>
      <c r="B473" s="3">
        <f t="shared" ca="1" si="36"/>
        <v>48</v>
      </c>
      <c r="C473" s="3">
        <f t="shared" ca="1" si="37"/>
        <v>35</v>
      </c>
      <c r="D473" s="3">
        <f t="shared" ca="1" si="38"/>
        <v>1689.16</v>
      </c>
      <c r="E473" s="22">
        <f t="shared" ca="1" si="39"/>
        <v>5801.7272712370668</v>
      </c>
    </row>
    <row r="474" spans="1:5" x14ac:dyDescent="0.25">
      <c r="A474" s="21">
        <f t="shared" ca="1" si="35"/>
        <v>189</v>
      </c>
      <c r="B474" s="3">
        <f t="shared" ca="1" si="36"/>
        <v>49</v>
      </c>
      <c r="C474" s="3">
        <f t="shared" ca="1" si="37"/>
        <v>30</v>
      </c>
      <c r="D474" s="3">
        <f t="shared" ca="1" si="38"/>
        <v>2373.16</v>
      </c>
      <c r="E474" s="22">
        <f t="shared" ca="1" si="39"/>
        <v>8653.9152365399859</v>
      </c>
    </row>
    <row r="475" spans="1:5" x14ac:dyDescent="0.25">
      <c r="A475" s="21">
        <f t="shared" ca="1" si="35"/>
        <v>214</v>
      </c>
      <c r="B475" s="3">
        <f t="shared" ca="1" si="36"/>
        <v>47</v>
      </c>
      <c r="C475" s="3">
        <f t="shared" ca="1" si="37"/>
        <v>33</v>
      </c>
      <c r="D475" s="3">
        <f t="shared" ca="1" si="38"/>
        <v>1920.96</v>
      </c>
      <c r="E475" s="22">
        <f t="shared" ca="1" si="39"/>
        <v>6768.3020817008337</v>
      </c>
    </row>
    <row r="476" spans="1:5" x14ac:dyDescent="0.25">
      <c r="A476" s="21">
        <f t="shared" ca="1" si="35"/>
        <v>222</v>
      </c>
      <c r="B476" s="3">
        <f t="shared" ca="1" si="36"/>
        <v>43</v>
      </c>
      <c r="C476" s="3">
        <f t="shared" ca="1" si="37"/>
        <v>27</v>
      </c>
      <c r="D476" s="3">
        <f t="shared" ca="1" si="38"/>
        <v>2343.52</v>
      </c>
      <c r="E476" s="22">
        <f t="shared" ca="1" si="39"/>
        <v>8530.320424710193</v>
      </c>
    </row>
    <row r="477" spans="1:5" x14ac:dyDescent="0.25">
      <c r="A477" s="21">
        <f t="shared" ca="1" si="35"/>
        <v>277</v>
      </c>
      <c r="B477" s="3">
        <f t="shared" ca="1" si="36"/>
        <v>46</v>
      </c>
      <c r="C477" s="3">
        <f t="shared" ca="1" si="37"/>
        <v>26</v>
      </c>
      <c r="D477" s="3">
        <f t="shared" ca="1" si="38"/>
        <v>3854.4</v>
      </c>
      <c r="E477" s="22">
        <f t="shared" ca="1" si="39"/>
        <v>14830.486730290417</v>
      </c>
    </row>
    <row r="478" spans="1:5" x14ac:dyDescent="0.25">
      <c r="A478" s="21">
        <f t="shared" ca="1" si="35"/>
        <v>150</v>
      </c>
      <c r="B478" s="3">
        <f t="shared" ca="1" si="36"/>
        <v>48</v>
      </c>
      <c r="C478" s="3">
        <f t="shared" ca="1" si="37"/>
        <v>28</v>
      </c>
      <c r="D478" s="3">
        <f t="shared" ca="1" si="38"/>
        <v>1924</v>
      </c>
      <c r="E478" s="22">
        <f t="shared" ca="1" si="39"/>
        <v>6780.9784726577354</v>
      </c>
    </row>
    <row r="479" spans="1:5" x14ac:dyDescent="0.25">
      <c r="A479" s="21">
        <f t="shared" ca="1" si="35"/>
        <v>267</v>
      </c>
      <c r="B479" s="3">
        <f t="shared" ca="1" si="36"/>
        <v>53</v>
      </c>
      <c r="C479" s="3">
        <f t="shared" ca="1" si="37"/>
        <v>28</v>
      </c>
      <c r="D479" s="3">
        <f t="shared" ca="1" si="38"/>
        <v>4717</v>
      </c>
      <c r="E479" s="22">
        <f t="shared" ca="1" si="39"/>
        <v>18427.41266431132</v>
      </c>
    </row>
    <row r="480" spans="1:5" x14ac:dyDescent="0.25">
      <c r="A480" s="21">
        <f t="shared" ca="1" si="35"/>
        <v>268</v>
      </c>
      <c r="B480" s="3">
        <f t="shared" ca="1" si="36"/>
        <v>42</v>
      </c>
      <c r="C480" s="3">
        <f t="shared" ca="1" si="37"/>
        <v>25</v>
      </c>
      <c r="D480" s="3">
        <f t="shared" ca="1" si="38"/>
        <v>3106.56</v>
      </c>
      <c r="E480" s="22">
        <f t="shared" ca="1" si="39"/>
        <v>11712.094554892557</v>
      </c>
    </row>
    <row r="481" spans="1:5" x14ac:dyDescent="0.25">
      <c r="A481" s="21">
        <f t="shared" ca="1" si="35"/>
        <v>178</v>
      </c>
      <c r="B481" s="3">
        <f t="shared" ca="1" si="36"/>
        <v>40</v>
      </c>
      <c r="C481" s="3">
        <f t="shared" ca="1" si="37"/>
        <v>34</v>
      </c>
      <c r="D481" s="3">
        <f t="shared" ca="1" si="38"/>
        <v>455.68</v>
      </c>
      <c r="E481" s="22">
        <f t="shared" ca="1" si="39"/>
        <v>658.28164047413736</v>
      </c>
    </row>
    <row r="482" spans="1:5" x14ac:dyDescent="0.25">
      <c r="A482" s="21">
        <f t="shared" ca="1" si="35"/>
        <v>152</v>
      </c>
      <c r="B482" s="3">
        <f t="shared" ca="1" si="36"/>
        <v>50</v>
      </c>
      <c r="C482" s="3">
        <f t="shared" ca="1" si="37"/>
        <v>34</v>
      </c>
      <c r="D482" s="3">
        <f t="shared" ca="1" si="38"/>
        <v>1492.32</v>
      </c>
      <c r="E482" s="22">
        <f t="shared" ca="1" si="39"/>
        <v>4980.9309567776709</v>
      </c>
    </row>
    <row r="483" spans="1:5" x14ac:dyDescent="0.25">
      <c r="A483" s="21">
        <f t="shared" ca="1" si="35"/>
        <v>236</v>
      </c>
      <c r="B483" s="3">
        <f t="shared" ca="1" si="36"/>
        <v>55</v>
      </c>
      <c r="C483" s="3">
        <f t="shared" ca="1" si="37"/>
        <v>25</v>
      </c>
      <c r="D483" s="3">
        <f t="shared" ca="1" si="38"/>
        <v>5024.8</v>
      </c>
      <c r="E483" s="22">
        <f t="shared" ca="1" si="39"/>
        <v>19710.897248697634</v>
      </c>
    </row>
    <row r="484" spans="1:5" x14ac:dyDescent="0.25">
      <c r="A484" s="21">
        <f t="shared" ca="1" si="35"/>
        <v>221</v>
      </c>
      <c r="B484" s="3">
        <f t="shared" ca="1" si="36"/>
        <v>41</v>
      </c>
      <c r="C484" s="3">
        <f t="shared" ca="1" si="37"/>
        <v>33</v>
      </c>
      <c r="D484" s="3">
        <f t="shared" ca="1" si="38"/>
        <v>987.68000000000006</v>
      </c>
      <c r="E484" s="22">
        <f t="shared" ca="1" si="39"/>
        <v>2876.6500579319627</v>
      </c>
    </row>
    <row r="485" spans="1:5" x14ac:dyDescent="0.25">
      <c r="A485" s="21">
        <f t="shared" ca="1" si="35"/>
        <v>300</v>
      </c>
      <c r="B485" s="3">
        <f t="shared" ca="1" si="36"/>
        <v>46</v>
      </c>
      <c r="C485" s="3">
        <f t="shared" ca="1" si="37"/>
        <v>34</v>
      </c>
      <c r="D485" s="3">
        <f t="shared" ca="1" si="38"/>
        <v>2380</v>
      </c>
      <c r="E485" s="22">
        <f t="shared" ca="1" si="39"/>
        <v>8682.4371161930139</v>
      </c>
    </row>
    <row r="486" spans="1:5" x14ac:dyDescent="0.25">
      <c r="A486" s="21">
        <f t="shared" ca="1" si="35"/>
        <v>209</v>
      </c>
      <c r="B486" s="3">
        <f t="shared" ca="1" si="36"/>
        <v>43</v>
      </c>
      <c r="C486" s="3">
        <f t="shared" ca="1" si="37"/>
        <v>34</v>
      </c>
      <c r="D486" s="3">
        <f t="shared" ca="1" si="38"/>
        <v>1073.56</v>
      </c>
      <c r="E486" s="22">
        <f t="shared" ca="1" si="39"/>
        <v>3234.7581024644401</v>
      </c>
    </row>
    <row r="487" spans="1:5" x14ac:dyDescent="0.25">
      <c r="A487" s="21">
        <f t="shared" ca="1" si="35"/>
        <v>197</v>
      </c>
      <c r="B487" s="3">
        <f t="shared" ca="1" si="36"/>
        <v>55</v>
      </c>
      <c r="C487" s="3">
        <f t="shared" ca="1" si="37"/>
        <v>25</v>
      </c>
      <c r="D487" s="3">
        <f t="shared" ca="1" si="38"/>
        <v>4135.6000000000004</v>
      </c>
      <c r="E487" s="22">
        <f t="shared" ca="1" si="39"/>
        <v>16003.052893803841</v>
      </c>
    </row>
    <row r="488" spans="1:5" x14ac:dyDescent="0.25">
      <c r="A488" s="21">
        <f t="shared" ca="1" si="35"/>
        <v>165</v>
      </c>
      <c r="B488" s="3">
        <f t="shared" ca="1" si="36"/>
        <v>46</v>
      </c>
      <c r="C488" s="3">
        <f t="shared" ca="1" si="37"/>
        <v>32</v>
      </c>
      <c r="D488" s="3">
        <f t="shared" ca="1" si="38"/>
        <v>1399.6</v>
      </c>
      <c r="E488" s="22">
        <f t="shared" ca="1" si="39"/>
        <v>4594.301032592165</v>
      </c>
    </row>
    <row r="489" spans="1:5" x14ac:dyDescent="0.25">
      <c r="A489" s="21">
        <f t="shared" ca="1" si="35"/>
        <v>264</v>
      </c>
      <c r="B489" s="3">
        <f t="shared" ca="1" si="36"/>
        <v>41</v>
      </c>
      <c r="C489" s="3">
        <f t="shared" ca="1" si="37"/>
        <v>29</v>
      </c>
      <c r="D489" s="3">
        <f t="shared" ca="1" si="38"/>
        <v>2051.6800000000003</v>
      </c>
      <c r="E489" s="22">
        <f t="shared" ca="1" si="39"/>
        <v>7313.3868928476149</v>
      </c>
    </row>
    <row r="490" spans="1:5" x14ac:dyDescent="0.25">
      <c r="A490" s="21">
        <f t="shared" ca="1" si="35"/>
        <v>172</v>
      </c>
      <c r="B490" s="3">
        <f t="shared" ca="1" si="36"/>
        <v>55</v>
      </c>
      <c r="C490" s="3">
        <f t="shared" ca="1" si="37"/>
        <v>26</v>
      </c>
      <c r="D490" s="3">
        <f t="shared" ca="1" si="38"/>
        <v>3434.88</v>
      </c>
      <c r="E490" s="22">
        <f t="shared" ca="1" si="39"/>
        <v>13081.14477823796</v>
      </c>
    </row>
    <row r="491" spans="1:5" x14ac:dyDescent="0.25">
      <c r="A491" s="21">
        <f t="shared" ca="1" si="35"/>
        <v>290</v>
      </c>
      <c r="B491" s="3">
        <f t="shared" ca="1" si="36"/>
        <v>50</v>
      </c>
      <c r="C491" s="3">
        <f t="shared" ca="1" si="37"/>
        <v>27</v>
      </c>
      <c r="D491" s="3">
        <f t="shared" ca="1" si="38"/>
        <v>4713.2</v>
      </c>
      <c r="E491" s="22">
        <f t="shared" ca="1" si="39"/>
        <v>18411.56717561519</v>
      </c>
    </row>
    <row r="492" spans="1:5" x14ac:dyDescent="0.25">
      <c r="A492" s="21">
        <f t="shared" ca="1" si="35"/>
        <v>187</v>
      </c>
      <c r="B492" s="3">
        <f t="shared" ca="1" si="36"/>
        <v>51</v>
      </c>
      <c r="C492" s="3">
        <f t="shared" ca="1" si="37"/>
        <v>26</v>
      </c>
      <c r="D492" s="3">
        <f t="shared" ca="1" si="38"/>
        <v>3197</v>
      </c>
      <c r="E492" s="22">
        <f t="shared" ca="1" si="39"/>
        <v>12089.217185860389</v>
      </c>
    </row>
    <row r="493" spans="1:5" x14ac:dyDescent="0.25">
      <c r="A493" s="21">
        <f t="shared" ca="1" si="35"/>
        <v>179</v>
      </c>
      <c r="B493" s="3">
        <f t="shared" ca="1" si="36"/>
        <v>50</v>
      </c>
      <c r="C493" s="3">
        <f t="shared" ca="1" si="37"/>
        <v>25</v>
      </c>
      <c r="D493" s="3">
        <f t="shared" ca="1" si="38"/>
        <v>3045</v>
      </c>
      <c r="E493" s="22">
        <f t="shared" ca="1" si="39"/>
        <v>11455.397638015296</v>
      </c>
    </row>
    <row r="494" spans="1:5" x14ac:dyDescent="0.25">
      <c r="A494" s="21">
        <f t="shared" ca="1" si="35"/>
        <v>180</v>
      </c>
      <c r="B494" s="3">
        <f t="shared" ca="1" si="36"/>
        <v>47</v>
      </c>
      <c r="C494" s="3">
        <f t="shared" ca="1" si="37"/>
        <v>29</v>
      </c>
      <c r="D494" s="3">
        <f t="shared" ca="1" si="38"/>
        <v>2106.4</v>
      </c>
      <c r="E494" s="22">
        <f t="shared" ca="1" si="39"/>
        <v>7541.5619300718472</v>
      </c>
    </row>
    <row r="495" spans="1:5" x14ac:dyDescent="0.25">
      <c r="A495" s="21">
        <f t="shared" ca="1" si="35"/>
        <v>171</v>
      </c>
      <c r="B495" s="3">
        <f t="shared" ca="1" si="36"/>
        <v>51</v>
      </c>
      <c r="C495" s="3">
        <f t="shared" ca="1" si="37"/>
        <v>30</v>
      </c>
      <c r="D495" s="3">
        <f t="shared" ca="1" si="38"/>
        <v>2373.16</v>
      </c>
      <c r="E495" s="22">
        <f t="shared" ca="1" si="39"/>
        <v>8653.9152365399859</v>
      </c>
    </row>
    <row r="496" spans="1:5" x14ac:dyDescent="0.25">
      <c r="A496" s="21">
        <f t="shared" ca="1" si="35"/>
        <v>276</v>
      </c>
      <c r="B496" s="3">
        <f t="shared" ca="1" si="36"/>
        <v>42</v>
      </c>
      <c r="C496" s="3">
        <f t="shared" ca="1" si="37"/>
        <v>34</v>
      </c>
      <c r="D496" s="3">
        <f t="shared" ca="1" si="38"/>
        <v>1322.08</v>
      </c>
      <c r="E496" s="22">
        <f t="shared" ca="1" si="39"/>
        <v>4271.053063191167</v>
      </c>
    </row>
    <row r="497" spans="1:5" x14ac:dyDescent="0.25">
      <c r="A497" s="21">
        <f t="shared" ca="1" si="35"/>
        <v>258</v>
      </c>
      <c r="B497" s="3">
        <f t="shared" ca="1" si="36"/>
        <v>48</v>
      </c>
      <c r="C497" s="3">
        <f t="shared" ca="1" si="37"/>
        <v>29</v>
      </c>
      <c r="D497" s="3">
        <f t="shared" ca="1" si="38"/>
        <v>3369.52</v>
      </c>
      <c r="E497" s="22">
        <f t="shared" ca="1" si="39"/>
        <v>12808.602372664569</v>
      </c>
    </row>
    <row r="498" spans="1:5" x14ac:dyDescent="0.25">
      <c r="A498" s="21">
        <f t="shared" ca="1" si="35"/>
        <v>210</v>
      </c>
      <c r="B498" s="3">
        <f t="shared" ca="1" si="36"/>
        <v>53</v>
      </c>
      <c r="C498" s="3">
        <f t="shared" ca="1" si="37"/>
        <v>29</v>
      </c>
      <c r="D498" s="3">
        <f t="shared" ca="1" si="38"/>
        <v>3474.4</v>
      </c>
      <c r="E498" s="22">
        <f t="shared" ca="1" si="39"/>
        <v>13245.937860677685</v>
      </c>
    </row>
    <row r="499" spans="1:5" x14ac:dyDescent="0.25">
      <c r="A499" s="21">
        <f t="shared" ca="1" si="35"/>
        <v>184</v>
      </c>
      <c r="B499" s="3">
        <f t="shared" ca="1" si="36"/>
        <v>55</v>
      </c>
      <c r="C499" s="3">
        <f t="shared" ca="1" si="37"/>
        <v>27</v>
      </c>
      <c r="D499" s="3">
        <f t="shared" ca="1" si="38"/>
        <v>3559.52</v>
      </c>
      <c r="E499" s="22">
        <f t="shared" ca="1" si="39"/>
        <v>13600.876807470937</v>
      </c>
    </row>
    <row r="500" spans="1:5" x14ac:dyDescent="0.25">
      <c r="A500" s="21">
        <f t="shared" ca="1" si="35"/>
        <v>283</v>
      </c>
      <c r="B500" s="3">
        <f t="shared" ca="1" si="36"/>
        <v>42</v>
      </c>
      <c r="C500" s="3">
        <f t="shared" ca="1" si="37"/>
        <v>29</v>
      </c>
      <c r="D500" s="3">
        <f t="shared" ca="1" si="38"/>
        <v>2440.04</v>
      </c>
      <c r="E500" s="22">
        <f t="shared" ca="1" si="39"/>
        <v>8932.7958375918279</v>
      </c>
    </row>
    <row r="501" spans="1:5" ht="15.75" thickBot="1" x14ac:dyDescent="0.3">
      <c r="A501" s="23">
        <f t="shared" ca="1" si="35"/>
        <v>222</v>
      </c>
      <c r="B501" s="24">
        <f t="shared" ca="1" si="36"/>
        <v>53</v>
      </c>
      <c r="C501" s="24">
        <f t="shared" ca="1" si="37"/>
        <v>26</v>
      </c>
      <c r="D501" s="24">
        <f t="shared" ca="1" si="38"/>
        <v>4199.4399999999996</v>
      </c>
      <c r="E501" s="22">
        <f t="shared" ca="1" si="39"/>
        <v>16269.257103898777</v>
      </c>
    </row>
  </sheetData>
  <mergeCells count="11">
    <mergeCell ref="G1:H2"/>
    <mergeCell ref="I1:J1"/>
    <mergeCell ref="L1:M1"/>
    <mergeCell ref="L2:M2"/>
    <mergeCell ref="G3:H3"/>
    <mergeCell ref="L3:M3"/>
    <mergeCell ref="G4:H4"/>
    <mergeCell ref="L4:M4"/>
    <mergeCell ref="G5:H5"/>
    <mergeCell ref="L5:M5"/>
    <mergeCell ref="L6:M6"/>
  </mergeCells>
  <pageMargins left="0.75" right="0.75" top="1" bottom="1" header="0.5" footer="0.5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Данные!A2:A76</xm:f>
              <xm:sqref>K3</xm:sqref>
            </x14:sparkline>
          </x14:sparklines>
        </x14:sparklineGroup>
        <x14:sparklineGroup displayEmptyCellsAs="gap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Данные!B2:B76</xm:f>
              <xm:sqref>K4</xm:sqref>
            </x14:sparkline>
          </x14:sparklines>
        </x14:sparklineGroup>
        <x14:sparklineGroup displayEmptyCellsAs="gap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Данные!C2:C76</xm:f>
              <xm:sqref>K5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zoomScale="70" zoomScaleNormal="70" workbookViewId="0">
      <selection activeCell="H1" sqref="H1"/>
    </sheetView>
  </sheetViews>
  <sheetFormatPr defaultRowHeight="15" x14ac:dyDescent="0.25"/>
  <cols>
    <col min="2" max="2" width="32.5703125" customWidth="1"/>
    <col min="3" max="3" width="25.140625" customWidth="1"/>
    <col min="4" max="4" width="18.42578125" customWidth="1"/>
    <col min="5" max="5" width="26.85546875" customWidth="1"/>
    <col min="6" max="6" width="15" customWidth="1"/>
    <col min="7" max="7" width="28.85546875" customWidth="1"/>
    <col min="8" max="8" width="18.85546875" customWidth="1"/>
    <col min="9" max="9" width="25.42578125" customWidth="1"/>
    <col min="10" max="10" width="15.140625" customWidth="1"/>
    <col min="11" max="11" width="20.140625" customWidth="1"/>
    <col min="12" max="12" width="15.5703125" customWidth="1"/>
    <col min="13" max="13" width="13.140625" customWidth="1"/>
    <col min="14" max="14" width="15" customWidth="1"/>
    <col min="15" max="15" width="12.85546875" customWidth="1"/>
    <col min="16" max="16" width="9.5703125" customWidth="1"/>
  </cols>
  <sheetData>
    <row r="1" spans="1:16" x14ac:dyDescent="0.25">
      <c r="A1" s="67" t="s">
        <v>18</v>
      </c>
      <c r="B1" s="68"/>
      <c r="C1" s="68" t="s">
        <v>19</v>
      </c>
      <c r="D1" s="69"/>
      <c r="E1" s="1"/>
      <c r="F1" s="73" t="s">
        <v>25</v>
      </c>
      <c r="G1" s="74"/>
      <c r="H1" s="19">
        <v>500</v>
      </c>
      <c r="I1">
        <v>1</v>
      </c>
      <c r="J1" s="60" t="s">
        <v>59</v>
      </c>
      <c r="K1" s="61">
        <v>1</v>
      </c>
      <c r="L1" s="61">
        <v>2</v>
      </c>
      <c r="M1" s="61">
        <v>5</v>
      </c>
      <c r="N1" s="61">
        <v>7</v>
      </c>
      <c r="O1" s="61">
        <v>9</v>
      </c>
      <c r="P1" s="62">
        <v>14</v>
      </c>
    </row>
    <row r="2" spans="1:16" ht="15.75" thickBot="1" x14ac:dyDescent="0.3">
      <c r="A2" s="63"/>
      <c r="B2" s="64"/>
      <c r="C2" s="4" t="s">
        <v>20</v>
      </c>
      <c r="D2" s="6" t="s">
        <v>21</v>
      </c>
      <c r="F2" s="75" t="s">
        <v>26</v>
      </c>
      <c r="G2" s="76"/>
      <c r="H2" s="7">
        <v>100</v>
      </c>
      <c r="J2" s="58" t="s">
        <v>60</v>
      </c>
      <c r="K2" s="51">
        <v>1.2689484579033459E-2</v>
      </c>
      <c r="L2" s="51">
        <v>1.2148485259035129E-2</v>
      </c>
      <c r="M2" s="51">
        <v>1.03865143908204E-2</v>
      </c>
      <c r="N2" s="51">
        <v>1.03887081099013E-2</v>
      </c>
      <c r="O2" s="51">
        <v>9.6919896427983959E-3</v>
      </c>
      <c r="P2" s="59">
        <v>8.7909614410754035E-3</v>
      </c>
    </row>
    <row r="3" spans="1:16" ht="15.75" thickBot="1" x14ac:dyDescent="0.3">
      <c r="A3" s="63" t="s">
        <v>22</v>
      </c>
      <c r="B3" s="64"/>
      <c r="C3" s="5">
        <v>150</v>
      </c>
      <c r="D3" s="7">
        <v>300</v>
      </c>
      <c r="F3" s="75" t="s">
        <v>27</v>
      </c>
      <c r="G3" s="76"/>
      <c r="H3" s="20">
        <v>0.24</v>
      </c>
    </row>
    <row r="4" spans="1:16" x14ac:dyDescent="0.25">
      <c r="A4" s="63" t="s">
        <v>23</v>
      </c>
      <c r="B4" s="64"/>
      <c r="C4" s="5">
        <v>40</v>
      </c>
      <c r="D4" s="7">
        <v>55</v>
      </c>
      <c r="F4" s="75" t="s">
        <v>28</v>
      </c>
      <c r="G4" s="76"/>
      <c r="H4" s="20">
        <v>0.1</v>
      </c>
      <c r="I4">
        <v>2</v>
      </c>
      <c r="J4" s="60" t="s">
        <v>59</v>
      </c>
      <c r="K4" s="61">
        <v>10</v>
      </c>
      <c r="L4" s="61">
        <v>15</v>
      </c>
      <c r="M4" s="61">
        <v>20</v>
      </c>
      <c r="N4" s="61">
        <v>30</v>
      </c>
      <c r="O4" s="61">
        <v>40</v>
      </c>
      <c r="P4" s="62">
        <v>50</v>
      </c>
    </row>
    <row r="5" spans="1:16" ht="15.75" thickBot="1" x14ac:dyDescent="0.3">
      <c r="A5" s="65" t="s">
        <v>24</v>
      </c>
      <c r="B5" s="66"/>
      <c r="C5" s="8">
        <v>25</v>
      </c>
      <c r="D5" s="9">
        <v>35</v>
      </c>
      <c r="F5" s="75" t="s">
        <v>29</v>
      </c>
      <c r="G5" s="76"/>
      <c r="H5" s="7">
        <v>5</v>
      </c>
      <c r="J5" s="58" t="s">
        <v>60</v>
      </c>
      <c r="K5" s="51">
        <v>1.1950080213288831E-2</v>
      </c>
      <c r="L5" s="51">
        <v>1.0834391358199746E-2</v>
      </c>
      <c r="M5" s="9">
        <v>8.8008494217419568E-3</v>
      </c>
      <c r="N5" s="51">
        <v>8.8816645166230005E-3</v>
      </c>
      <c r="O5" s="51">
        <v>7.5925570982991004E-3</v>
      </c>
      <c r="P5" s="59">
        <v>6.0217066409945725E-3</v>
      </c>
    </row>
    <row r="6" spans="1:16" ht="15.75" thickBot="1" x14ac:dyDescent="0.3">
      <c r="F6" s="65" t="s">
        <v>30</v>
      </c>
      <c r="G6" s="66"/>
      <c r="H6" s="9">
        <v>2000</v>
      </c>
    </row>
    <row r="7" spans="1:16" x14ac:dyDescent="0.25">
      <c r="I7">
        <v>3</v>
      </c>
      <c r="J7" s="60" t="s">
        <v>59</v>
      </c>
      <c r="K7" s="61">
        <v>0.1</v>
      </c>
      <c r="L7" s="61">
        <v>0.3</v>
      </c>
      <c r="M7" s="61">
        <v>0.56000000000000005</v>
      </c>
      <c r="N7" s="61">
        <v>0.78</v>
      </c>
      <c r="O7" s="61">
        <v>0.87</v>
      </c>
      <c r="P7" s="62">
        <v>0.99</v>
      </c>
    </row>
    <row r="8" spans="1:16" ht="15.75" thickBot="1" x14ac:dyDescent="0.3">
      <c r="J8" s="58" t="s">
        <v>60</v>
      </c>
      <c r="K8" s="51">
        <v>1.2963617665628851E-2</v>
      </c>
      <c r="L8" s="51">
        <v>1.0250857343186447E-2</v>
      </c>
      <c r="M8" s="51">
        <v>1.0174492530968001E-2</v>
      </c>
      <c r="N8" s="51">
        <v>9.0385052883498098E-3</v>
      </c>
      <c r="O8" s="51">
        <v>7.7993185739083301E-3</v>
      </c>
      <c r="P8" s="59">
        <v>7.0568204107809901E-3</v>
      </c>
    </row>
    <row r="9" spans="1:16" ht="15.75" thickBot="1" x14ac:dyDescent="0.3">
      <c r="C9" s="12" t="s">
        <v>18</v>
      </c>
      <c r="D9" s="13" t="s">
        <v>31</v>
      </c>
      <c r="E9" s="13" t="s">
        <v>32</v>
      </c>
      <c r="F9" s="13" t="s">
        <v>33</v>
      </c>
      <c r="G9" s="13" t="s">
        <v>34</v>
      </c>
      <c r="H9" s="14" t="s">
        <v>35</v>
      </c>
    </row>
    <row r="10" spans="1:16" x14ac:dyDescent="0.25">
      <c r="C10" s="15" t="s">
        <v>36</v>
      </c>
      <c r="D10" s="10">
        <f ca="1">AVERAGE(Данные!A2:A508)</f>
        <v>226.15</v>
      </c>
      <c r="E10" s="10">
        <f ca="1">AVERAGE(Данные!B2:B508)</f>
        <v>47.67</v>
      </c>
      <c r="F10" s="10">
        <f ca="1">AVERAGE(Данные!C2:C508)</f>
        <v>29.846</v>
      </c>
      <c r="G10" s="10">
        <f ca="1">AVERAGE(Данные!D2:D508)</f>
        <v>2710.5118400000001</v>
      </c>
      <c r="H10" s="16">
        <f ca="1">AVERAGE(Данные!E2:E508)</f>
        <v>10060.627017418348</v>
      </c>
      <c r="I10">
        <v>4</v>
      </c>
      <c r="J10" s="60" t="s">
        <v>59</v>
      </c>
      <c r="K10" s="61">
        <v>80</v>
      </c>
      <c r="L10" s="61">
        <v>100</v>
      </c>
      <c r="M10" s="61">
        <v>120</v>
      </c>
      <c r="N10" s="61">
        <v>130</v>
      </c>
      <c r="O10" s="61">
        <v>140</v>
      </c>
      <c r="P10" s="62">
        <v>150</v>
      </c>
    </row>
    <row r="11" spans="1:16" ht="15.75" thickBot="1" x14ac:dyDescent="0.3">
      <c r="C11" s="15" t="s">
        <v>37</v>
      </c>
      <c r="D11" s="10">
        <f ca="1">STDEV(Данные!A2:A508)</f>
        <v>44.023170934841993</v>
      </c>
      <c r="E11" s="10">
        <f ca="1">STDEV(Данные!B2:B508)</f>
        <v>4.6785550927087556</v>
      </c>
      <c r="F11" s="10">
        <f ca="1">STDEV(Данные!C2:C508)</f>
        <v>3.1224643420116509</v>
      </c>
      <c r="G11" s="10">
        <f ca="1">STDEV(Данные!D2:D508)</f>
        <v>1189.5097653300047</v>
      </c>
      <c r="H11" s="16">
        <f ca="1">STDEV(Данные!E2:E508)</f>
        <v>4960.0956685446272</v>
      </c>
      <c r="J11" s="58" t="s">
        <v>60</v>
      </c>
      <c r="K11" s="51">
        <v>9.2292313019297061E-3</v>
      </c>
      <c r="L11" s="51">
        <v>8.1108504180665598E-3</v>
      </c>
      <c r="M11" s="51">
        <v>7.9790522905714093E-3</v>
      </c>
      <c r="N11" s="51">
        <v>7.2534672394832904E-3</v>
      </c>
      <c r="O11" s="51">
        <v>6.1315164533358004E-3</v>
      </c>
      <c r="P11" s="59">
        <v>5.4502489101233001E-3</v>
      </c>
    </row>
    <row r="12" spans="1:16" ht="15.75" thickBot="1" x14ac:dyDescent="0.3">
      <c r="C12" s="15" t="s">
        <v>38</v>
      </c>
      <c r="D12" s="10">
        <f ca="1">D11/D10</f>
        <v>0.19466359024913549</v>
      </c>
      <c r="E12" s="10">
        <f t="shared" ref="E12:H12" ca="1" si="0">E11/E10</f>
        <v>9.8144642179751523E-2</v>
      </c>
      <c r="F12" s="10">
        <f t="shared" ca="1" si="0"/>
        <v>0.10461918990858576</v>
      </c>
      <c r="G12" s="10">
        <f t="shared" ca="1" si="0"/>
        <v>0.43885060665516396</v>
      </c>
      <c r="H12" s="16">
        <f t="shared" ca="1" si="0"/>
        <v>0.49302053042588934</v>
      </c>
    </row>
    <row r="13" spans="1:16" x14ac:dyDescent="0.25">
      <c r="C13" s="15" t="s">
        <v>12</v>
      </c>
      <c r="D13" s="10">
        <f ca="1">MIN(Данные!A2:A508)</f>
        <v>150</v>
      </c>
      <c r="E13" s="10">
        <f ca="1">MIN(Данные!B2:B508)</f>
        <v>40</v>
      </c>
      <c r="F13" s="10">
        <f ca="1">MIN(Данные!C2:C508)</f>
        <v>25</v>
      </c>
      <c r="G13" s="10">
        <f ca="1">MIN(Данные!D2:D508)</f>
        <v>328</v>
      </c>
      <c r="H13" s="16">
        <f ca="1">MIN(Данные!E2:E508)</f>
        <v>125.87322028425918</v>
      </c>
      <c r="I13">
        <v>5</v>
      </c>
      <c r="J13" s="60" t="s">
        <v>59</v>
      </c>
      <c r="K13" s="61">
        <v>13</v>
      </c>
      <c r="L13" s="61">
        <v>17</v>
      </c>
      <c r="M13" s="61">
        <v>23</v>
      </c>
      <c r="N13" s="61">
        <v>28</v>
      </c>
      <c r="O13" s="61">
        <v>31</v>
      </c>
      <c r="P13" s="62">
        <v>40</v>
      </c>
    </row>
    <row r="14" spans="1:16" ht="15.75" thickBot="1" x14ac:dyDescent="0.3">
      <c r="C14" s="15" t="s">
        <v>13</v>
      </c>
      <c r="D14" s="10">
        <f ca="1">MAX(Данные!A2:A508)</f>
        <v>300</v>
      </c>
      <c r="E14" s="10">
        <f ca="1">MAX(Данные!B2:B508)</f>
        <v>55</v>
      </c>
      <c r="F14" s="10">
        <f ca="1">MAX(Данные!C2:C508)</f>
        <v>35</v>
      </c>
      <c r="G14" s="10">
        <f ca="1">MAX(Данные!D2:D508)</f>
        <v>6101.72</v>
      </c>
      <c r="H14" s="16">
        <f ca="1">MAX(Данные!E2:E508)</f>
        <v>24201.508745180116</v>
      </c>
      <c r="J14" s="58" t="s">
        <v>60</v>
      </c>
      <c r="K14" s="51">
        <v>1.30500802132888E-2</v>
      </c>
      <c r="L14" s="51">
        <v>1.24540156734698E-2</v>
      </c>
      <c r="M14" s="51">
        <v>1.1684593005944474E-2</v>
      </c>
      <c r="N14" s="51">
        <v>1.1142599313671659E-2</v>
      </c>
      <c r="O14" s="51">
        <v>1.0964401831841501E-2</v>
      </c>
      <c r="P14" s="59">
        <v>1.0534345179189277E-2</v>
      </c>
    </row>
    <row r="15" spans="1:16" x14ac:dyDescent="0.25">
      <c r="C15" s="15" t="s">
        <v>39</v>
      </c>
      <c r="D15" s="10"/>
      <c r="E15" s="10"/>
      <c r="F15" s="10"/>
      <c r="G15" s="10"/>
      <c r="H15" s="16">
        <f ca="1">COUNTIF(Данные!E2:E508,"&lt;0")</f>
        <v>0</v>
      </c>
    </row>
    <row r="16" spans="1:16" ht="23.25" x14ac:dyDescent="0.35">
      <c r="C16" s="15" t="s">
        <v>40</v>
      </c>
      <c r="D16" s="10"/>
      <c r="E16" s="10"/>
      <c r="F16" s="10"/>
      <c r="G16" s="10"/>
      <c r="H16" s="16">
        <f ca="1">SUMIF(Данные!E2:E500,"&gt;0")</f>
        <v>5014044.251605276</v>
      </c>
      <c r="J16" s="77" t="s">
        <v>64</v>
      </c>
    </row>
    <row r="17" spans="3:12" ht="15.75" thickBot="1" x14ac:dyDescent="0.3">
      <c r="C17" s="25" t="s">
        <v>41</v>
      </c>
      <c r="D17" s="11"/>
      <c r="E17" s="11"/>
      <c r="F17" s="11"/>
      <c r="G17" s="11"/>
      <c r="H17" s="26">
        <f ca="1">SUMIF(Данные!E3:E501,"&gt;0")</f>
        <v>5028476.3227097085</v>
      </c>
    </row>
    <row r="18" spans="3:12" x14ac:dyDescent="0.25">
      <c r="C18" s="28"/>
      <c r="D18" s="29"/>
      <c r="E18" s="29"/>
      <c r="F18" s="29"/>
      <c r="G18" s="29"/>
      <c r="H18" s="19"/>
    </row>
    <row r="19" spans="3:12" x14ac:dyDescent="0.25">
      <c r="C19" s="15" t="s">
        <v>42</v>
      </c>
      <c r="D19" s="27"/>
      <c r="E19" s="27" t="s">
        <v>43</v>
      </c>
      <c r="F19" s="27" t="s">
        <v>44</v>
      </c>
      <c r="G19" s="27" t="s">
        <v>45</v>
      </c>
      <c r="H19" s="30" t="s">
        <v>46</v>
      </c>
    </row>
    <row r="20" spans="3:12" ht="15.75" thickBot="1" x14ac:dyDescent="0.3">
      <c r="C20" s="31"/>
      <c r="D20" s="8"/>
      <c r="E20" s="8">
        <v>0</v>
      </c>
      <c r="F20" s="8">
        <f ca="1">STANDARDIZE(0,H10,H11)</f>
        <v>-2.0283130991242149</v>
      </c>
      <c r="G20" s="8">
        <f ca="1">NORMSDIST(F20)</f>
        <v>2.1264151449197421E-2</v>
      </c>
      <c r="H20" s="9">
        <f ca="1">NORMSDIST(F20)</f>
        <v>2.1264151449197421E-2</v>
      </c>
    </row>
    <row r="24" spans="3:12" ht="23.25" thickBot="1" x14ac:dyDescent="0.35">
      <c r="C24" s="78" t="s">
        <v>61</v>
      </c>
    </row>
    <row r="25" spans="3:12" x14ac:dyDescent="0.25">
      <c r="C25" s="70" t="s">
        <v>8</v>
      </c>
      <c r="D25" s="71"/>
      <c r="E25" s="71" t="s">
        <v>6</v>
      </c>
      <c r="F25" s="71"/>
      <c r="G25" s="71" t="s">
        <v>7</v>
      </c>
      <c r="H25" s="71"/>
      <c r="I25" s="71" t="s">
        <v>57</v>
      </c>
      <c r="J25" s="71"/>
      <c r="K25" s="71" t="s">
        <v>58</v>
      </c>
      <c r="L25" s="72"/>
    </row>
    <row r="26" spans="3:12" x14ac:dyDescent="0.25">
      <c r="C26" s="56"/>
      <c r="L26" s="57"/>
    </row>
    <row r="27" spans="3:12" x14ac:dyDescent="0.25">
      <c r="C27" s="56" t="s">
        <v>11</v>
      </c>
      <c r="D27">
        <v>222.114</v>
      </c>
      <c r="E27" t="s">
        <v>11</v>
      </c>
      <c r="F27">
        <v>47.271999999999998</v>
      </c>
      <c r="G27" t="s">
        <v>11</v>
      </c>
      <c r="H27">
        <v>29.846</v>
      </c>
      <c r="I27" t="s">
        <v>11</v>
      </c>
      <c r="J27">
        <v>2624.9601600000019</v>
      </c>
      <c r="K27" t="s">
        <v>11</v>
      </c>
      <c r="L27" s="57">
        <v>11020.876314820025</v>
      </c>
    </row>
    <row r="28" spans="3:12" x14ac:dyDescent="0.25">
      <c r="C28" s="56" t="s">
        <v>47</v>
      </c>
      <c r="D28">
        <v>1.9430452536457898</v>
      </c>
      <c r="E28" t="s">
        <v>47</v>
      </c>
      <c r="F28">
        <v>0.20698240367447099</v>
      </c>
      <c r="G28" t="s">
        <v>47</v>
      </c>
      <c r="H28">
        <v>0.14388179851491897</v>
      </c>
      <c r="I28" t="s">
        <v>47</v>
      </c>
      <c r="J28">
        <v>51.646190085572144</v>
      </c>
      <c r="K28" t="s">
        <v>47</v>
      </c>
      <c r="L28" s="57">
        <v>216.92048115060831</v>
      </c>
    </row>
    <row r="29" spans="3:12" x14ac:dyDescent="0.25">
      <c r="C29" s="56" t="s">
        <v>48</v>
      </c>
      <c r="D29">
        <v>219</v>
      </c>
      <c r="E29" t="s">
        <v>48</v>
      </c>
      <c r="F29">
        <v>47</v>
      </c>
      <c r="G29" t="s">
        <v>48</v>
      </c>
      <c r="H29">
        <v>30</v>
      </c>
      <c r="I29" t="s">
        <v>48</v>
      </c>
      <c r="J29">
        <v>2538.08</v>
      </c>
      <c r="K29" t="s">
        <v>48</v>
      </c>
      <c r="L29" s="57">
        <v>10399.644423195145</v>
      </c>
    </row>
    <row r="30" spans="3:12" x14ac:dyDescent="0.25">
      <c r="C30" s="56" t="s">
        <v>49</v>
      </c>
      <c r="D30">
        <v>221</v>
      </c>
      <c r="E30" t="s">
        <v>49</v>
      </c>
      <c r="F30">
        <v>52</v>
      </c>
      <c r="G30" t="s">
        <v>49</v>
      </c>
      <c r="H30">
        <v>27</v>
      </c>
      <c r="I30" t="s">
        <v>49</v>
      </c>
      <c r="J30">
        <v>1650.4</v>
      </c>
      <c r="K30" t="s">
        <v>49</v>
      </c>
      <c r="L30" s="57">
        <v>13575.08035789906</v>
      </c>
    </row>
    <row r="31" spans="3:12" x14ac:dyDescent="0.25">
      <c r="C31" s="56" t="s">
        <v>50</v>
      </c>
      <c r="D31">
        <v>43.447812705103075</v>
      </c>
      <c r="E31" t="s">
        <v>50</v>
      </c>
      <c r="F31">
        <v>4.6282672476241942</v>
      </c>
      <c r="G31" t="s">
        <v>50</v>
      </c>
      <c r="H31">
        <v>3.2172948220428714</v>
      </c>
      <c r="I31" t="s">
        <v>50</v>
      </c>
      <c r="J31">
        <v>1154.8439181021499</v>
      </c>
      <c r="K31" t="s">
        <v>50</v>
      </c>
      <c r="L31" s="57">
        <v>4850.4894156472201</v>
      </c>
    </row>
    <row r="32" spans="3:12" x14ac:dyDescent="0.25">
      <c r="C32" s="56" t="s">
        <v>51</v>
      </c>
      <c r="D32">
        <v>1887.7124288577161</v>
      </c>
      <c r="E32" t="s">
        <v>51</v>
      </c>
      <c r="F32">
        <v>21.420857715430834</v>
      </c>
      <c r="G32" t="s">
        <v>51</v>
      </c>
      <c r="H32">
        <v>10.350985971943873</v>
      </c>
      <c r="I32" t="s">
        <v>51</v>
      </c>
      <c r="J32">
        <v>1333664.4751775251</v>
      </c>
      <c r="K32" t="s">
        <v>51</v>
      </c>
      <c r="L32" s="57">
        <v>23527247.571305711</v>
      </c>
    </row>
    <row r="33" spans="3:12" x14ac:dyDescent="0.25">
      <c r="C33" s="56" t="s">
        <v>52</v>
      </c>
      <c r="D33">
        <v>-1.2030935568673364</v>
      </c>
      <c r="E33" t="s">
        <v>52</v>
      </c>
      <c r="F33">
        <v>-1.2606623369758667</v>
      </c>
      <c r="G33" t="s">
        <v>52</v>
      </c>
      <c r="H33">
        <v>-1.2468735195486871</v>
      </c>
      <c r="I33" t="s">
        <v>52</v>
      </c>
      <c r="J33">
        <v>-0.16381798219815114</v>
      </c>
      <c r="K33" t="s">
        <v>52</v>
      </c>
      <c r="L33" s="57">
        <v>3.9858398560750352E-2</v>
      </c>
    </row>
    <row r="34" spans="3:12" x14ac:dyDescent="0.25">
      <c r="C34" s="56" t="s">
        <v>53</v>
      </c>
      <c r="D34">
        <v>0.12368348935996229</v>
      </c>
      <c r="E34" t="s">
        <v>53</v>
      </c>
      <c r="F34">
        <v>4.2653741816366615E-2</v>
      </c>
      <c r="G34" t="s">
        <v>53</v>
      </c>
      <c r="H34">
        <v>0.11425810640673377</v>
      </c>
      <c r="I34" t="s">
        <v>53</v>
      </c>
      <c r="J34">
        <v>0.44838582876618249</v>
      </c>
      <c r="K34" t="s">
        <v>53</v>
      </c>
      <c r="L34" s="57">
        <v>0.50063700460853267</v>
      </c>
    </row>
    <row r="35" spans="3:12" x14ac:dyDescent="0.25">
      <c r="C35" s="56" t="s">
        <v>54</v>
      </c>
      <c r="D35">
        <v>148</v>
      </c>
      <c r="E35" t="s">
        <v>54</v>
      </c>
      <c r="F35">
        <v>15</v>
      </c>
      <c r="G35" t="s">
        <v>54</v>
      </c>
      <c r="H35">
        <v>10</v>
      </c>
      <c r="I35" t="s">
        <v>54</v>
      </c>
      <c r="J35">
        <v>5829.96</v>
      </c>
      <c r="K35" t="s">
        <v>54</v>
      </c>
      <c r="L35" s="57">
        <v>24589.029358650379</v>
      </c>
    </row>
    <row r="36" spans="3:12" x14ac:dyDescent="0.25">
      <c r="C36" s="56" t="s">
        <v>12</v>
      </c>
      <c r="D36">
        <v>152</v>
      </c>
      <c r="E36" t="s">
        <v>12</v>
      </c>
      <c r="F36">
        <v>40</v>
      </c>
      <c r="G36" t="s">
        <v>12</v>
      </c>
      <c r="H36">
        <v>25</v>
      </c>
      <c r="I36" t="s">
        <v>12</v>
      </c>
      <c r="J36">
        <v>293.8</v>
      </c>
      <c r="K36" t="s">
        <v>12</v>
      </c>
      <c r="L36" s="57">
        <v>1405.7450392732746</v>
      </c>
    </row>
    <row r="37" spans="3:12" x14ac:dyDescent="0.25">
      <c r="C37" s="56" t="s">
        <v>13</v>
      </c>
      <c r="D37">
        <v>300</v>
      </c>
      <c r="E37" t="s">
        <v>13</v>
      </c>
      <c r="F37">
        <v>55</v>
      </c>
      <c r="G37" t="s">
        <v>13</v>
      </c>
      <c r="H37">
        <v>35</v>
      </c>
      <c r="I37" t="s">
        <v>13</v>
      </c>
      <c r="J37">
        <v>6123.76</v>
      </c>
      <c r="K37" t="s">
        <v>13</v>
      </c>
      <c r="L37" s="57">
        <v>25994.774397923655</v>
      </c>
    </row>
    <row r="38" spans="3:12" x14ac:dyDescent="0.25">
      <c r="C38" s="56" t="s">
        <v>55</v>
      </c>
      <c r="D38">
        <v>111057</v>
      </c>
      <c r="E38" t="s">
        <v>55</v>
      </c>
      <c r="F38">
        <v>23636</v>
      </c>
      <c r="G38" t="s">
        <v>55</v>
      </c>
      <c r="H38">
        <v>14923</v>
      </c>
      <c r="I38" t="s">
        <v>55</v>
      </c>
      <c r="J38">
        <v>1312480.080000001</v>
      </c>
      <c r="K38" t="s">
        <v>55</v>
      </c>
      <c r="L38" s="57">
        <v>5510438.1574100126</v>
      </c>
    </row>
    <row r="39" spans="3:12" ht="15.75" thickBot="1" x14ac:dyDescent="0.3">
      <c r="C39" s="58" t="s">
        <v>56</v>
      </c>
      <c r="D39" s="51">
        <v>500</v>
      </c>
      <c r="E39" s="51" t="s">
        <v>56</v>
      </c>
      <c r="F39" s="51">
        <v>500</v>
      </c>
      <c r="G39" s="51" t="s">
        <v>56</v>
      </c>
      <c r="H39" s="51">
        <v>500</v>
      </c>
      <c r="I39" s="51" t="s">
        <v>56</v>
      </c>
      <c r="J39" s="51">
        <v>500</v>
      </c>
      <c r="K39" s="51" t="s">
        <v>56</v>
      </c>
      <c r="L39" s="59">
        <v>500</v>
      </c>
    </row>
    <row r="42" spans="3:12" ht="15.75" thickBot="1" x14ac:dyDescent="0.3"/>
    <row r="43" spans="3:12" x14ac:dyDescent="0.25">
      <c r="C43" s="54"/>
      <c r="D43" s="52" t="s">
        <v>8</v>
      </c>
      <c r="E43" s="52" t="s">
        <v>6</v>
      </c>
      <c r="F43" s="52" t="s">
        <v>7</v>
      </c>
      <c r="G43" s="52" t="s">
        <v>57</v>
      </c>
      <c r="H43" s="55" t="s">
        <v>58</v>
      </c>
    </row>
    <row r="44" spans="3:12" x14ac:dyDescent="0.25">
      <c r="C44" s="56" t="s">
        <v>8</v>
      </c>
      <c r="D44">
        <v>1</v>
      </c>
      <c r="H44" s="57"/>
    </row>
    <row r="45" spans="3:12" x14ac:dyDescent="0.25">
      <c r="C45" s="56" t="s">
        <v>6</v>
      </c>
      <c r="D45">
        <v>7.5812014533163996E-2</v>
      </c>
      <c r="E45">
        <v>1</v>
      </c>
      <c r="H45" s="57"/>
    </row>
    <row r="46" spans="3:12" x14ac:dyDescent="0.25">
      <c r="C46" s="56" t="s">
        <v>7</v>
      </c>
      <c r="D46">
        <v>-3.665369702308705E-3</v>
      </c>
      <c r="E46">
        <v>-7.5533701641909062E-2</v>
      </c>
      <c r="F46">
        <v>1</v>
      </c>
      <c r="H46" s="57"/>
    </row>
    <row r="47" spans="3:12" x14ac:dyDescent="0.25">
      <c r="C47" s="56" t="s">
        <v>57</v>
      </c>
      <c r="D47">
        <v>0.5231573253473778</v>
      </c>
      <c r="E47">
        <v>0.69056323832555899</v>
      </c>
      <c r="F47">
        <v>-0.47936442431315157</v>
      </c>
      <c r="G47">
        <v>1</v>
      </c>
      <c r="H47" s="57"/>
    </row>
    <row r="48" spans="3:12" ht="15.75" thickBot="1" x14ac:dyDescent="0.3">
      <c r="C48" s="58" t="s">
        <v>58</v>
      </c>
      <c r="D48" s="51">
        <v>0.52102628410447782</v>
      </c>
      <c r="E48" s="51">
        <v>0.68940311156529988</v>
      </c>
      <c r="F48" s="51">
        <v>-0.50535314747588223</v>
      </c>
      <c r="G48" s="51">
        <v>1.0000000000000004</v>
      </c>
      <c r="H48" s="59">
        <v>1</v>
      </c>
    </row>
    <row r="50" spans="3:8" ht="15.75" thickBot="1" x14ac:dyDescent="0.3"/>
    <row r="51" spans="3:8" x14ac:dyDescent="0.25">
      <c r="C51" s="52"/>
      <c r="D51" s="52"/>
      <c r="E51" s="52"/>
      <c r="F51" s="52"/>
      <c r="G51" s="52"/>
      <c r="H51" s="52"/>
    </row>
    <row r="56" spans="3:8" ht="15.75" thickBot="1" x14ac:dyDescent="0.3">
      <c r="C56" s="51"/>
      <c r="D56" s="51"/>
      <c r="E56" s="51"/>
      <c r="F56" s="51"/>
      <c r="G56" s="51"/>
      <c r="H56" s="51"/>
    </row>
  </sheetData>
  <mergeCells count="16">
    <mergeCell ref="A1:B2"/>
    <mergeCell ref="C1:D1"/>
    <mergeCell ref="A3:B3"/>
    <mergeCell ref="A4:B4"/>
    <mergeCell ref="A5:B5"/>
    <mergeCell ref="F1:G1"/>
    <mergeCell ref="F6:G6"/>
    <mergeCell ref="F5:G5"/>
    <mergeCell ref="F4:G4"/>
    <mergeCell ref="F3:G3"/>
    <mergeCell ref="F2:G2"/>
    <mergeCell ref="C25:D25"/>
    <mergeCell ref="E25:F25"/>
    <mergeCell ref="G25:H25"/>
    <mergeCell ref="I25:J25"/>
    <mergeCell ref="K25:L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Власов</cp:lastModifiedBy>
  <dcterms:created xsi:type="dcterms:W3CDTF">2025-03-27T11:35:32Z</dcterms:created>
  <dcterms:modified xsi:type="dcterms:W3CDTF">2025-05-27T12:05:58Z</dcterms:modified>
</cp:coreProperties>
</file>