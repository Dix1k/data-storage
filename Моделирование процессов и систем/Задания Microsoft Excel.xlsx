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dix1k\Документы\GitHub\PGATU\Моделирование процессов и систем\"/>
    </mc:Choice>
  </mc:AlternateContent>
  <xr:revisionPtr revIDLastSave="0" documentId="13_ncr:1_{2B42D73D-2A6F-473D-A6DD-10D359E7E19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Задача 10" sheetId="2" r:id="rId1"/>
    <sheet name="Агенство недвижимости" sheetId="1" r:id="rId2"/>
  </sheets>
  <definedNames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'Задача 10'!$O$4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1" l="1" a="1"/>
  <c r="B17" i="1" s="1"/>
  <c r="L15" i="2"/>
  <c r="K15" i="2"/>
  <c r="J15" i="2"/>
  <c r="I15" i="2"/>
  <c r="H15" i="2"/>
  <c r="G15" i="2"/>
  <c r="F15" i="2"/>
  <c r="D15" i="2"/>
  <c r="D20" i="2" s="1"/>
  <c r="B15" i="1" a="1"/>
  <c r="B15" i="1" s="1"/>
  <c r="E13" i="1"/>
  <c r="C15" i="1" l="1"/>
  <c r="E15" i="1"/>
  <c r="D15" i="1"/>
  <c r="H4" i="1" l="1"/>
  <c r="H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<sst xmlns="http://schemas.openxmlformats.org/spreadsheetml/2006/main" count="50" uniqueCount="50">
  <si>
    <t>x1</t>
  </si>
  <si>
    <t>x2</t>
  </si>
  <si>
    <t>x3</t>
  </si>
  <si>
    <t>№1</t>
  </si>
  <si>
    <t>№2</t>
  </si>
  <si>
    <t>№3</t>
  </si>
  <si>
    <t>№4</t>
  </si>
  <si>
    <t>№5</t>
  </si>
  <si>
    <t>№6</t>
  </si>
  <si>
    <t>№7</t>
  </si>
  <si>
    <t>№8</t>
  </si>
  <si>
    <t>№9</t>
  </si>
  <si>
    <t>№10</t>
  </si>
  <si>
    <t>Итог=</t>
  </si>
  <si>
    <t>Ср.Знач.=</t>
  </si>
  <si>
    <t>Функция ЛИНЕЙН=</t>
  </si>
  <si>
    <t>Заданные мне значения=</t>
  </si>
  <si>
    <t>Разница=</t>
  </si>
  <si>
    <t>y(в млн.руб.)</t>
  </si>
  <si>
    <t>График занятости персонала</t>
  </si>
  <si>
    <t>График</t>
  </si>
  <si>
    <t>выходные дни</t>
  </si>
  <si>
    <t>Работники</t>
  </si>
  <si>
    <t>вск</t>
  </si>
  <si>
    <t>пн</t>
  </si>
  <si>
    <t>вт</t>
  </si>
  <si>
    <t>ср</t>
  </si>
  <si>
    <t>чт</t>
  </si>
  <si>
    <t>пт</t>
  </si>
  <si>
    <t>сб</t>
  </si>
  <si>
    <t>А</t>
  </si>
  <si>
    <t>вск-пн</t>
  </si>
  <si>
    <t>Б</t>
  </si>
  <si>
    <t>пн-вт</t>
  </si>
  <si>
    <t>В</t>
  </si>
  <si>
    <t>вт-ср</t>
  </si>
  <si>
    <t>Г</t>
  </si>
  <si>
    <t>ср-чт</t>
  </si>
  <si>
    <t>Д</t>
  </si>
  <si>
    <t>чт-пт</t>
  </si>
  <si>
    <t>Е</t>
  </si>
  <si>
    <t>пт-сб</t>
  </si>
  <si>
    <t>Ж</t>
  </si>
  <si>
    <t>сб-вск</t>
  </si>
  <si>
    <t>Всего</t>
  </si>
  <si>
    <t>Всего требуется</t>
  </si>
  <si>
    <t>Дневная оплата работника</t>
  </si>
  <si>
    <t>Общая недельная зарплата</t>
  </si>
  <si>
    <t>Вывод:</t>
  </si>
  <si>
    <t>Оптимизация была достигнута за счёт подбора минимального количества работников, которое при этом было бы больше или равно необходимому количеству на данный день.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</si>
</sst>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Segoe UI"/>
      <family val="2"/>
      <charset val="204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2" fontId="2" fillId="0" borderId="1" xfId="0" applyNumberFormat="1" applyFont="1" applyBorder="1" applyAlignment="1">
      <alignment vertical="center" wrapText="1"/>
    </xf>
    <xf numFmtId="2" fontId="2" fillId="0" borderId="2" xfId="0" applyNumberFormat="1" applyFont="1" applyBorder="1" applyAlignment="1">
      <alignment vertical="center" wrapText="1"/>
    </xf>
    <xf numFmtId="2" fontId="2" fillId="0" borderId="3" xfId="0" applyNumberFormat="1" applyFont="1" applyBorder="1" applyAlignment="1">
      <alignment vertical="center" wrapText="1"/>
    </xf>
    <xf numFmtId="2" fontId="2" fillId="0" borderId="4" xfId="0" applyNumberFormat="1" applyFont="1" applyBorder="1" applyAlignment="1">
      <alignment vertical="center" wrapText="1"/>
    </xf>
    <xf numFmtId="2" fontId="2" fillId="0" borderId="0" xfId="0" applyNumberFormat="1" applyFont="1" applyAlignment="1">
      <alignment vertical="center" wrapText="1"/>
    </xf>
    <xf numFmtId="2" fontId="2" fillId="0" borderId="5" xfId="0" applyNumberFormat="1" applyFont="1" applyBorder="1" applyAlignment="1">
      <alignment vertical="center" wrapText="1"/>
    </xf>
    <xf numFmtId="2" fontId="2" fillId="0" borderId="6" xfId="0" applyNumberFormat="1" applyFont="1" applyBorder="1" applyAlignment="1">
      <alignment vertical="center" wrapText="1"/>
    </xf>
    <xf numFmtId="2" fontId="2" fillId="0" borderId="7" xfId="0" applyNumberFormat="1" applyFont="1" applyBorder="1" applyAlignment="1">
      <alignment vertical="center" wrapText="1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1" xfId="0" applyBorder="1" applyAlignment="1">
      <alignment horizontal="right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3" xfId="0" applyBorder="1" applyAlignment="1">
      <alignment horizontal="left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3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C5334-EC35-4DE5-9F5A-EB0FF955B7C0}">
  <dimension ref="A1:S23"/>
  <sheetViews>
    <sheetView zoomScale="145" zoomScaleNormal="145" workbookViewId="0">
      <selection activeCell="N11" sqref="N11"/>
    </sheetView>
  </sheetViews>
  <sheetFormatPr defaultRowHeight="15" x14ac:dyDescent="0.25"/>
  <sheetData>
    <row r="1" spans="1:12" x14ac:dyDescent="0.25">
      <c r="A1" s="22" t="s">
        <v>19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6" spans="1:12" x14ac:dyDescent="0.25">
      <c r="A6" s="2" t="s">
        <v>20</v>
      </c>
      <c r="B6" s="22" t="s">
        <v>21</v>
      </c>
      <c r="C6" s="22"/>
      <c r="D6" s="2" t="s">
        <v>22</v>
      </c>
      <c r="E6" s="2"/>
      <c r="F6" s="2" t="s">
        <v>23</v>
      </c>
      <c r="G6" s="2" t="s">
        <v>24</v>
      </c>
      <c r="H6" s="2" t="s">
        <v>25</v>
      </c>
      <c r="I6" s="2" t="s">
        <v>26</v>
      </c>
      <c r="J6" s="2" t="s">
        <v>27</v>
      </c>
      <c r="K6" s="2" t="s">
        <v>28</v>
      </c>
      <c r="L6" s="2" t="s">
        <v>29</v>
      </c>
    </row>
    <row r="7" spans="1:12" x14ac:dyDescent="0.25">
      <c r="A7" s="2" t="s">
        <v>30</v>
      </c>
      <c r="B7" s="22" t="s">
        <v>31</v>
      </c>
      <c r="C7" s="22"/>
      <c r="D7" s="2">
        <v>3</v>
      </c>
      <c r="E7" s="2"/>
      <c r="F7" s="2">
        <v>0</v>
      </c>
      <c r="G7" s="2">
        <v>0</v>
      </c>
      <c r="H7" s="2">
        <v>1</v>
      </c>
      <c r="I7" s="2">
        <v>1</v>
      </c>
      <c r="J7" s="2">
        <v>1</v>
      </c>
      <c r="K7" s="2">
        <v>1</v>
      </c>
      <c r="L7" s="2">
        <v>1</v>
      </c>
    </row>
    <row r="8" spans="1:12" x14ac:dyDescent="0.25">
      <c r="A8" s="2" t="s">
        <v>32</v>
      </c>
      <c r="B8" s="22" t="s">
        <v>33</v>
      </c>
      <c r="C8" s="22"/>
      <c r="D8" s="2">
        <v>4</v>
      </c>
      <c r="E8" s="2"/>
      <c r="F8" s="2">
        <v>1</v>
      </c>
      <c r="G8" s="2">
        <v>0</v>
      </c>
      <c r="H8" s="2">
        <v>0</v>
      </c>
      <c r="I8" s="2">
        <v>1</v>
      </c>
      <c r="J8" s="2">
        <v>1</v>
      </c>
      <c r="K8" s="2">
        <v>1</v>
      </c>
      <c r="L8" s="2">
        <v>1</v>
      </c>
    </row>
    <row r="9" spans="1:12" x14ac:dyDescent="0.25">
      <c r="A9" s="2" t="s">
        <v>34</v>
      </c>
      <c r="B9" s="22" t="s">
        <v>35</v>
      </c>
      <c r="C9" s="22"/>
      <c r="D9" s="2">
        <v>7</v>
      </c>
      <c r="E9" s="2"/>
      <c r="F9" s="2">
        <v>1</v>
      </c>
      <c r="G9" s="2">
        <v>1</v>
      </c>
      <c r="H9" s="2">
        <v>0</v>
      </c>
      <c r="I9" s="2">
        <v>0</v>
      </c>
      <c r="J9" s="2">
        <v>1</v>
      </c>
      <c r="K9" s="2">
        <v>1</v>
      </c>
      <c r="L9" s="2">
        <v>1</v>
      </c>
    </row>
    <row r="10" spans="1:12" x14ac:dyDescent="0.25">
      <c r="A10" s="2" t="s">
        <v>36</v>
      </c>
      <c r="B10" s="22" t="s">
        <v>37</v>
      </c>
      <c r="C10" s="22"/>
      <c r="D10" s="2">
        <v>5</v>
      </c>
      <c r="E10" s="2"/>
      <c r="F10" s="2">
        <v>1</v>
      </c>
      <c r="G10" s="2">
        <v>1</v>
      </c>
      <c r="H10" s="2">
        <v>1</v>
      </c>
      <c r="I10" s="2">
        <v>0</v>
      </c>
      <c r="J10" s="2">
        <v>0</v>
      </c>
      <c r="K10" s="2">
        <v>1</v>
      </c>
      <c r="L10" s="2">
        <v>1</v>
      </c>
    </row>
    <row r="11" spans="1:12" x14ac:dyDescent="0.25">
      <c r="A11" s="2" t="s">
        <v>38</v>
      </c>
      <c r="B11" s="22" t="s">
        <v>39</v>
      </c>
      <c r="C11" s="22"/>
      <c r="D11" s="2">
        <v>4</v>
      </c>
      <c r="E11" s="2"/>
      <c r="F11" s="2">
        <v>1</v>
      </c>
      <c r="G11" s="2">
        <v>1</v>
      </c>
      <c r="H11" s="2">
        <v>1</v>
      </c>
      <c r="I11" s="2">
        <v>1</v>
      </c>
      <c r="J11" s="2">
        <v>0</v>
      </c>
      <c r="K11" s="2">
        <v>0</v>
      </c>
      <c r="L11" s="2">
        <v>1</v>
      </c>
    </row>
    <row r="12" spans="1:12" x14ac:dyDescent="0.25">
      <c r="A12" s="2" t="s">
        <v>40</v>
      </c>
      <c r="B12" s="22" t="s">
        <v>41</v>
      </c>
      <c r="C12" s="22"/>
      <c r="D12" s="2">
        <v>2</v>
      </c>
      <c r="E12" s="2"/>
      <c r="F12" s="2">
        <v>1</v>
      </c>
      <c r="G12" s="2">
        <v>1</v>
      </c>
      <c r="H12" s="2">
        <v>1</v>
      </c>
      <c r="I12" s="2">
        <v>1</v>
      </c>
      <c r="J12" s="2">
        <v>1</v>
      </c>
      <c r="K12" s="2">
        <v>0</v>
      </c>
      <c r="L12" s="2">
        <v>0</v>
      </c>
    </row>
    <row r="13" spans="1:12" x14ac:dyDescent="0.25">
      <c r="A13" s="2" t="s">
        <v>42</v>
      </c>
      <c r="B13" s="22" t="s">
        <v>43</v>
      </c>
      <c r="C13" s="22"/>
      <c r="D13" s="2">
        <v>1</v>
      </c>
      <c r="E13" s="2"/>
      <c r="F13" s="2">
        <v>0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0</v>
      </c>
    </row>
    <row r="14" spans="1:12" x14ac:dyDescent="0.25">
      <c r="A14" s="2"/>
      <c r="B14" s="22"/>
      <c r="C14" s="2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25">
      <c r="A15" s="22" t="s">
        <v>44</v>
      </c>
      <c r="B15" s="22"/>
      <c r="C15" s="22"/>
      <c r="D15" s="2">
        <f>SUM(D7:D13)</f>
        <v>26</v>
      </c>
      <c r="E15" s="2"/>
      <c r="F15" s="2">
        <f>$D$7*F7+$D$8*F8+$D$9*F9+$D$10*F10+$D$11*F11+$D$12*F12+$D$13*F13</f>
        <v>22</v>
      </c>
      <c r="G15" s="2">
        <f>$D$7*G7+$D$8*G8+$D$9*G9+$D$10*G10+$D$11*G11+$D$12*G12+$D$13*G13</f>
        <v>19</v>
      </c>
      <c r="H15" s="2">
        <f t="shared" ref="H15:L15" si="0">$D$7*H7+$D$8*H8+$D$9*H9+$D$10*H10+$D$11*H11+$D$12*H12+$D$13*H13</f>
        <v>15</v>
      </c>
      <c r="I15" s="2">
        <f t="shared" si="0"/>
        <v>14</v>
      </c>
      <c r="J15" s="2">
        <f t="shared" si="0"/>
        <v>17</v>
      </c>
      <c r="K15" s="2">
        <f t="shared" si="0"/>
        <v>20</v>
      </c>
      <c r="L15" s="2">
        <f t="shared" si="0"/>
        <v>23</v>
      </c>
    </row>
    <row r="16" spans="1:12" x14ac:dyDescent="0.25">
      <c r="A16" s="2"/>
      <c r="B16" s="22"/>
      <c r="C16" s="22"/>
      <c r="D16" s="2"/>
      <c r="E16" s="2"/>
      <c r="F16" s="2"/>
      <c r="G16" s="2"/>
      <c r="H16" s="2"/>
      <c r="I16" s="2"/>
      <c r="J16" s="2"/>
      <c r="K16" s="2"/>
      <c r="L16" s="2"/>
    </row>
    <row r="17" spans="1:19" x14ac:dyDescent="0.25">
      <c r="A17" s="22" t="s">
        <v>45</v>
      </c>
      <c r="B17" s="22"/>
      <c r="C17" s="22"/>
      <c r="D17" s="2"/>
      <c r="E17" s="2"/>
      <c r="F17" s="2">
        <v>22</v>
      </c>
      <c r="G17" s="2">
        <v>19</v>
      </c>
      <c r="H17" s="2">
        <v>15</v>
      </c>
      <c r="I17" s="2">
        <v>14</v>
      </c>
      <c r="J17" s="2">
        <v>16</v>
      </c>
      <c r="K17" s="2">
        <v>18</v>
      </c>
      <c r="L17" s="2">
        <v>23</v>
      </c>
    </row>
    <row r="18" spans="1:19" x14ac:dyDescent="0.25">
      <c r="B18" s="23"/>
      <c r="C18" s="23"/>
    </row>
    <row r="19" spans="1:19" x14ac:dyDescent="0.25">
      <c r="A19" s="22" t="s">
        <v>46</v>
      </c>
      <c r="B19" s="22"/>
      <c r="C19" s="22"/>
      <c r="D19" s="2">
        <v>40</v>
      </c>
    </row>
    <row r="20" spans="1:19" x14ac:dyDescent="0.25">
      <c r="A20" s="22" t="s">
        <v>47</v>
      </c>
      <c r="B20" s="22"/>
      <c r="C20" s="22"/>
      <c r="D20" s="21">
        <f>D15*D19</f>
        <v>1040</v>
      </c>
    </row>
    <row r="23" spans="1:19" x14ac:dyDescent="0.25">
      <c r="A23" s="1" t="s">
        <v>48</v>
      </c>
      <c r="B23" s="24" t="s">
        <v>49</v>
      </c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</row>
  </sheetData>
  <mergeCells count="17">
    <mergeCell ref="B16:C16"/>
    <mergeCell ref="A1:L1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A15:C15"/>
    <mergeCell ref="A17:C17"/>
    <mergeCell ref="B18:C18"/>
    <mergeCell ref="A19:C19"/>
    <mergeCell ref="A20:C20"/>
    <mergeCell ref="B23:S23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17"/>
  <sheetViews>
    <sheetView tabSelected="1" zoomScale="130" zoomScaleNormal="130" workbookViewId="0">
      <selection activeCell="G17" sqref="G17"/>
    </sheetView>
  </sheetViews>
  <sheetFormatPr defaultRowHeight="15" x14ac:dyDescent="0.25"/>
  <cols>
    <col min="1" max="1" width="17.42578125" customWidth="1"/>
    <col min="5" max="5" width="12.140625" customWidth="1"/>
    <col min="7" max="7" width="23.42578125" customWidth="1"/>
    <col min="8" max="8" width="10.28515625" customWidth="1"/>
  </cols>
  <sheetData>
    <row r="2" spans="1:10" x14ac:dyDescent="0.25">
      <c r="B2" s="14" t="s">
        <v>0</v>
      </c>
      <c r="C2" s="15" t="s">
        <v>1</v>
      </c>
      <c r="D2" s="15" t="s">
        <v>2</v>
      </c>
      <c r="E2" s="16" t="s">
        <v>18</v>
      </c>
      <c r="G2" s="17" t="s">
        <v>16</v>
      </c>
      <c r="H2" s="18">
        <v>44</v>
      </c>
      <c r="I2" s="18">
        <v>11</v>
      </c>
      <c r="J2" s="19">
        <v>6</v>
      </c>
    </row>
    <row r="3" spans="1:10" ht="17.25" x14ac:dyDescent="0.25">
      <c r="A3" s="11" t="s">
        <v>3</v>
      </c>
      <c r="B3" s="3">
        <v>44</v>
      </c>
      <c r="C3" s="4">
        <v>10</v>
      </c>
      <c r="D3" s="4">
        <v>5</v>
      </c>
      <c r="E3" s="5">
        <v>6.5</v>
      </c>
    </row>
    <row r="4" spans="1:10" ht="17.25" x14ac:dyDescent="0.25">
      <c r="A4" s="12" t="s">
        <v>4</v>
      </c>
      <c r="B4" s="6">
        <v>45</v>
      </c>
      <c r="C4" s="7">
        <v>10.5</v>
      </c>
      <c r="D4" s="7">
        <v>6</v>
      </c>
      <c r="E4" s="8">
        <v>6.8</v>
      </c>
      <c r="G4" s="17" t="s">
        <v>13</v>
      </c>
      <c r="H4" s="20">
        <f>D15*H2+C15*I2+B15*J2+E15</f>
        <v>6.7659980094481131</v>
      </c>
    </row>
    <row r="5" spans="1:10" ht="17.25" x14ac:dyDescent="0.25">
      <c r="A5" s="12" t="s">
        <v>5</v>
      </c>
      <c r="B5" s="6">
        <v>46</v>
      </c>
      <c r="C5" s="7">
        <v>11</v>
      </c>
      <c r="D5" s="7">
        <v>7</v>
      </c>
      <c r="E5" s="8">
        <v>7</v>
      </c>
      <c r="G5" s="17" t="s">
        <v>17</v>
      </c>
      <c r="H5" s="20">
        <f>H4-E13</f>
        <v>5.5998009448112285E-2</v>
      </c>
    </row>
    <row r="6" spans="1:10" ht="17.25" x14ac:dyDescent="0.25">
      <c r="A6" s="12" t="s">
        <v>6</v>
      </c>
      <c r="B6" s="6">
        <v>43</v>
      </c>
      <c r="C6" s="7">
        <v>9.5</v>
      </c>
      <c r="D6" s="7">
        <v>4</v>
      </c>
      <c r="E6" s="8">
        <v>6.2</v>
      </c>
    </row>
    <row r="7" spans="1:10" ht="17.25" x14ac:dyDescent="0.25">
      <c r="A7" s="12" t="s">
        <v>7</v>
      </c>
      <c r="B7" s="6">
        <v>44.5</v>
      </c>
      <c r="C7" s="7">
        <v>10.8</v>
      </c>
      <c r="D7" s="7">
        <v>6</v>
      </c>
      <c r="E7" s="8">
        <v>6.9</v>
      </c>
    </row>
    <row r="8" spans="1:10" ht="17.25" x14ac:dyDescent="0.25">
      <c r="A8" s="12" t="s">
        <v>8</v>
      </c>
      <c r="B8" s="6">
        <v>47</v>
      </c>
      <c r="C8" s="7">
        <v>11.5</v>
      </c>
      <c r="D8" s="7">
        <v>8</v>
      </c>
      <c r="E8" s="8">
        <v>7.1</v>
      </c>
    </row>
    <row r="9" spans="1:10" ht="17.25" x14ac:dyDescent="0.25">
      <c r="A9" s="12" t="s">
        <v>9</v>
      </c>
      <c r="B9" s="6">
        <v>43.5</v>
      </c>
      <c r="C9" s="7">
        <v>9.8000000000000007</v>
      </c>
      <c r="D9" s="7">
        <v>5</v>
      </c>
      <c r="E9" s="8">
        <v>6.3</v>
      </c>
    </row>
    <row r="10" spans="1:10" ht="17.25" x14ac:dyDescent="0.25">
      <c r="A10" s="12" t="s">
        <v>10</v>
      </c>
      <c r="B10" s="6">
        <v>44.8</v>
      </c>
      <c r="C10" s="7">
        <v>10.199999999999999</v>
      </c>
      <c r="D10" s="7">
        <v>6</v>
      </c>
      <c r="E10" s="8">
        <v>6.7</v>
      </c>
    </row>
    <row r="11" spans="1:10" ht="17.25" x14ac:dyDescent="0.25">
      <c r="A11" s="12" t="s">
        <v>11</v>
      </c>
      <c r="B11" s="6">
        <v>47.5</v>
      </c>
      <c r="C11" s="7">
        <v>12</v>
      </c>
      <c r="D11" s="7">
        <v>9</v>
      </c>
      <c r="E11" s="8">
        <v>7.2</v>
      </c>
    </row>
    <row r="12" spans="1:10" ht="17.25" x14ac:dyDescent="0.25">
      <c r="A12" s="13" t="s">
        <v>12</v>
      </c>
      <c r="B12" s="9">
        <v>43.8</v>
      </c>
      <c r="C12" s="10">
        <v>10.1</v>
      </c>
      <c r="D12" s="7">
        <v>5</v>
      </c>
      <c r="E12" s="8">
        <v>6.4</v>
      </c>
    </row>
    <row r="13" spans="1:10" x14ac:dyDescent="0.25">
      <c r="D13" s="17" t="s">
        <v>14</v>
      </c>
      <c r="E13" s="20">
        <f>AVERAGE(E3:E12)</f>
        <v>6.7100000000000009</v>
      </c>
    </row>
    <row r="15" spans="1:10" x14ac:dyDescent="0.25">
      <c r="A15" s="17" t="s">
        <v>15</v>
      </c>
      <c r="B15" s="15">
        <f t="array" ref="B15:E15">LINEST(E3:E12, B3:D12, TRUE, TRUE)</f>
        <v>-0.13872417772918172</v>
      </c>
      <c r="C15" s="15">
        <v>0.40009625673446653</v>
      </c>
      <c r="D15" s="15">
        <v>0.1559546004644618</v>
      </c>
      <c r="E15" s="16">
        <v>-3.6647181686922479</v>
      </c>
    </row>
    <row r="17" spans="2:5" x14ac:dyDescent="0.25">
      <c r="B17" cm="1">
        <f t="array" ref="B17:E17">LINEST(E3:E12,B3:D12,1,0)</f>
        <v>-0.13872417772918172</v>
      </c>
      <c r="C17">
        <v>0.40009625673446653</v>
      </c>
      <c r="D17">
        <v>0.1559546004644618</v>
      </c>
      <c r="E17">
        <v>-3.6647181686922479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Задача 10</vt:lpstr>
      <vt:lpstr>Агенство недвижимости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Enoteg</dc:creator>
  <cp:lastModifiedBy>Дмитрий Власов</cp:lastModifiedBy>
  <dcterms:created xsi:type="dcterms:W3CDTF">2015-06-05T18:19:34Z</dcterms:created>
  <dcterms:modified xsi:type="dcterms:W3CDTF">2025-05-23T06:17:09Z</dcterms:modified>
</cp:coreProperties>
</file>